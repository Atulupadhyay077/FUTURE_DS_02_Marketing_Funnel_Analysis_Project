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hannel Summary" sheetId="2" state="visible" r:id="rId4"/>
    <sheet name="Funnel Drop-off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<sst xmlns="http://schemas.openxmlformats.org/spreadsheetml/2006/main" count="2060" uniqueCount="168">
  <si>
    <t xml:space="preserve">Date</t>
  </si>
  <si>
    <t xml:space="preserve">Marketing Channel</t>
  </si>
  <si>
    <t xml:space="preserve">Impressions</t>
  </si>
  <si>
    <t xml:space="preserve">Clicks</t>
  </si>
  <si>
    <t xml:space="preserve">Leads</t>
  </si>
  <si>
    <t xml:space="preserve">Qualified Leads</t>
  </si>
  <si>
    <t xml:space="preserve">Sales Calls</t>
  </si>
  <si>
    <t xml:space="preserve">Customers</t>
  </si>
  <si>
    <t xml:space="preserve">Revenue</t>
  </si>
  <si>
    <t xml:space="preserve">Ad Spend</t>
  </si>
  <si>
    <t xml:space="preserve">2025-01-01</t>
  </si>
  <si>
    <t xml:space="preserve">Email Marketing</t>
  </si>
  <si>
    <t xml:space="preserve">Facebook Ads</t>
  </si>
  <si>
    <t xml:space="preserve">Google Ads</t>
  </si>
  <si>
    <t xml:space="preserve">Instagram Ads</t>
  </si>
  <si>
    <t xml:space="preserve">LinkedIn Ads</t>
  </si>
  <si>
    <t xml:space="preserve">Organic Search</t>
  </si>
  <si>
    <t xml:space="preserve">Referral</t>
  </si>
  <si>
    <t xml:space="preserve">YouTube Ads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</si>
  <si>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</si>
  <si>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</si>
  <si>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</si>
  <si>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</si>
  <si>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</si>
  <si>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</si>
  <si>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</si>
  <si>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</si>
  <si>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</si>
  <si>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</si>
  <si>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</si>
  <si>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</si>
  <si>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</si>
  <si>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</si>
  <si>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</si>
  <si>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</si>
  <si>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</si>
  <si>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</si>
  <si>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</si>
  <si>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</si>
  <si>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</si>
  <si>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</si>
  <si>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</si>
  <si>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</si>
  <si>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</si>
  <si>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</si>
  <si>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</si>
  <si>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</si>
  <si>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</si>
  <si>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</si>
  <si>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</si>
  <si>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</si>
  <si>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</si>
  <si>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</si>
  <si>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</si>
  <si>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</si>
  <si>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</si>
  <si>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</si>
  <si>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</si>
  <si>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</si>
  <si>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</si>
  <si>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</si>
  <si>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</si>
  <si>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</si>
  <si>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</si>
  <si>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</si>
  <si>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</si>
  <si>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</si>
  <si>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</si>
  <si>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</si>
  <si>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</si>
  <si>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</si>
  <si>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</si>
  <si>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</si>
  <si>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</si>
  <si>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</si>
  <si>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</si>
  <si>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</si>
  <si>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</si>
  <si>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</si>
  <si>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</si>
  <si>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</si>
  <si>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</si>
  <si>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</si>
  <si>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</si>
  <si>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</si>
  <si>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</si>
  <si>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</si>
  <si>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</si>
  <si>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</si>
  <si>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</si>
  <si>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</si>
  <si>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</si>
  <si>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</si>
  <si>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</si>
  <si>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</si>
  <si>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</si>
  <si>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</si>
  <si>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</si>
  <si>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</si>
  <si>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</si>
  <si>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</si>
  <si>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</si>
  <si>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</si>
  <si>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</si>
  <si>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</si>
  <si>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</si>
  <si>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</si>
  <si>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</si>
  <si>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</si>
  <si>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</si>
  <si>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</si>
  <si>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</si>
  <si>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</si>
  <si>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</si>
  <si>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</si>
  <si>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</si>
  <si>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</si>
  <si>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</si>
  <si>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</si>
  <si>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</si>
  <si>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</si>
  <si>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</si>
  <si>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</si>
  <si>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</si>
  <si>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</si>
  <si>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</si>
  <si>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</si>
  <si>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</si>
  <si>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</si>
  <si>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</si>
  <si>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</si>
  <si>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</si>
  <si>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</si>
  <si>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</si>
  <si>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</si>
  <si>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</si>
  <si>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</si>
  <si>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</si>
  <si>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</si>
  <si>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</si>
  <si>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</si>
  <si>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</si>
  <si>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</si>
  <si>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CTR (%)</t>
  </si>
  <si>
    <t xml:space="preserve">Lead Conv. Rate (%)</t>
  </si>
  <si>
    <t xml:space="preserve">Qualification Rate (%)</t>
  </si>
  <si>
    <t xml:space="preserve">Close Rate (%)</t>
  </si>
  <si>
    <t xml:space="preserve">Overall Funnel Conv. (%)</t>
  </si>
  <si>
    <t xml:space="preserve">ROAS (x)</t>
  </si>
  <si>
    <t xml:space="preserve">Cost per Customer</t>
  </si>
  <si>
    <t xml:space="preserve">TOTAL</t>
  </si>
  <si>
    <t xml:space="preserve">Funnel Stage</t>
  </si>
  <si>
    <t xml:space="preserve">Total Volume</t>
  </si>
  <si>
    <t xml:space="preserve">Stage Transition</t>
  </si>
  <si>
    <t xml:space="preserve">Entered</t>
  </si>
  <si>
    <t xml:space="preserve">Passed Through</t>
  </si>
  <si>
    <t xml:space="preserve">Lost</t>
  </si>
  <si>
    <t xml:space="preserve">Drop-off Rate (%)</t>
  </si>
  <si>
    <t xml:space="preserve">Impressions -&gt; Clicks</t>
  </si>
  <si>
    <t xml:space="preserve">Clicks -&gt; Leads</t>
  </si>
  <si>
    <t xml:space="preserve">Leads -&gt; Qualified Leads</t>
  </si>
  <si>
    <t xml:space="preserve">Qualified Leads -&gt; Sales Calls</t>
  </si>
  <si>
    <t xml:space="preserve">Sales Calls -&gt; Customers</t>
  </si>
  <si>
    <t xml:space="preserve">MARKETING FUNNEL &amp; CONVERSION PERFORMANCE DASHBOARD</t>
  </si>
  <si>
    <t xml:space="preserve">Total Impressions</t>
  </si>
  <si>
    <t xml:space="preserve">Total Customers</t>
  </si>
  <si>
    <t xml:space="preserve">Total Revenue</t>
  </si>
  <si>
    <t xml:space="preserve">Total Ad Spend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</si>
</sst>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0\%"/>
    <numFmt numFmtId="168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D7D31"/>
        <bgColor rgb="FFDC853E"/>
      </patternFill>
    </fill>
    <fill>
      <patternFill patternType="solid">
        <fgColor rgb="FFD9E6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78787"/>
      <rgbColor rgb="FF93A9CE"/>
      <rgbColor rgb="FFAB4744"/>
      <rgbColor rgb="FFFFFFCC"/>
      <rgbColor rgb="FFD9E6F2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ED7D31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Funnel Conversion Rate by Channel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'Channel Summary'!N1</c:f>
              <c:strCache>
                <c:ptCount val="1"/>
                <c:pt idx="0">
                  <c:v>Overall Funnel Conv.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Summary'!$A$2:$A$9</c:f>
              <c:strCache>
                <c:ptCount val="8"/>
                <c:pt idx="0">
                  <c:v>Email Marketing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 Ads</c:v>
                </c:pt>
                <c:pt idx="4">
                  <c:v>LinkedIn Ads</c:v>
                </c:pt>
                <c:pt idx="5">
                  <c:v>Organic Search</c:v>
                </c:pt>
                <c:pt idx="6">
                  <c:v>Referral</c:v>
                </c:pt>
                <c:pt idx="7">
                  <c:v>YouTube Ads</c:v>
                </c:pt>
              </c:strCache>
            </c:strRef>
          </c:cat>
          <c:val>
            <c:numRef>
              <c:f>'Channel Summary'!$N$2:$N$9</c:f>
              <c:numCache>
                <c:formatCode>0.00\%</c:formatCode>
                <c:ptCount val="8"/>
                <c:pt idx="0">
                  <c:v>0.655992580873929</c:v>
                </c:pt>
                <c:pt idx="1">
                  <c:v>0.03430099515084</c:v>
                </c:pt>
                <c:pt idx="2">
                  <c:v>0.142569698199746</c:v>
                </c:pt>
                <c:pt idx="3">
                  <c:v>0.0185920470178156</c:v>
                </c:pt>
                <c:pt idx="4">
                  <c:v>0.0976842180045335</c:v>
                </c:pt>
                <c:pt idx="5">
                  <c:v>0.212383558509168</c:v>
                </c:pt>
                <c:pt idx="6">
                  <c:v>1.65729968304378</c:v>
                </c:pt>
                <c:pt idx="7">
                  <c:v>0.0125389672520757</c:v>
                </c:pt>
              </c:numCache>
            </c:numRef>
          </c:val>
        </c:ser>
        <c:gapWidth val="150"/>
        <c:overlap val="0"/>
        <c:axId val="40935834"/>
        <c:axId val="69509176"/>
      </c:barChart>
      <c:catAx>
        <c:axId val="4093583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Conversion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09176"/>
        <c:crosses val="autoZero"/>
        <c:auto val="1"/>
        <c:lblAlgn val="ctr"/>
        <c:lblOffset val="100"/>
        <c:noMultiLvlLbl val="0"/>
      </c:catAx>
      <c:valAx>
        <c:axId val="69509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358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ROAS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'Channel Summary'!O1</c:f>
              <c:strCache>
                <c:ptCount val="1"/>
                <c:pt idx="0">
                  <c:v>ROAS (x)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Summary'!$A$2:$A$9</c:f>
              <c:strCache>
                <c:ptCount val="8"/>
                <c:pt idx="0">
                  <c:v>Email Marketing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 Ads</c:v>
                </c:pt>
                <c:pt idx="4">
                  <c:v>LinkedIn Ads</c:v>
                </c:pt>
                <c:pt idx="5">
                  <c:v>Organic Search</c:v>
                </c:pt>
                <c:pt idx="6">
                  <c:v>Referral</c:v>
                </c:pt>
                <c:pt idx="7">
                  <c:v>YouTube Ads</c:v>
                </c:pt>
              </c:strCache>
            </c:strRef>
          </c:cat>
          <c:val>
            <c:numRef>
              <c:f>'Channel Summary'!$O$2:$O$9</c:f>
              <c:numCache>
                <c:formatCode>0.00\x</c:formatCode>
                <c:ptCount val="8"/>
                <c:pt idx="0">
                  <c:v>97.7121058182877</c:v>
                </c:pt>
                <c:pt idx="1">
                  <c:v>6.57438463554195</c:v>
                </c:pt>
                <c:pt idx="2">
                  <c:v>10.5354086377315</c:v>
                </c:pt>
                <c:pt idx="3">
                  <c:v>4.37245920029162</c:v>
                </c:pt>
                <c:pt idx="4">
                  <c:v>10.3509072006668</c:v>
                </c:pt>
                <c:pt idx="5">
                  <c:v>132.608917447787</c:v>
                </c:pt>
                <c:pt idx="6">
                  <c:v>491.88966275464</c:v>
                </c:pt>
                <c:pt idx="7">
                  <c:v>2.21542846931745</c:v>
                </c:pt>
              </c:numCache>
            </c:numRef>
          </c:val>
        </c:ser>
        <c:gapWidth val="150"/>
        <c:overlap val="0"/>
        <c:axId val="33749093"/>
        <c:axId val="85079847"/>
      </c:barChart>
      <c:catAx>
        <c:axId val="337490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79847"/>
        <c:crosses val="autoZero"/>
        <c:auto val="1"/>
        <c:lblAlgn val="ctr"/>
        <c:lblOffset val="100"/>
        <c:noMultiLvlLbl val="0"/>
      </c:catAx>
      <c:valAx>
        <c:axId val="850798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490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Funnel Volume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'Funnel Drop-off'!B1</c:f>
              <c:strCache>
                <c:ptCount val="1"/>
                <c:pt idx="0">
                  <c:v>Total Volume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'Funnel Drop-off'!$A$2:$A$7</c:f>
              <c:strCache>
                <c:ptCount val="6"/>
                <c:pt idx="0">
                  <c:v>Impressions</c:v>
                </c:pt>
                <c:pt idx="1">
                  <c:v>Clicks</c:v>
                </c:pt>
                <c:pt idx="2">
                  <c:v>Leads</c:v>
                </c:pt>
                <c:pt idx="3">
                  <c:v>Qualified Leads</c:v>
                </c:pt>
                <c:pt idx="4">
                  <c:v>Sales Calls</c:v>
                </c:pt>
                <c:pt idx="5">
                  <c:v>Customers</c:v>
                </c:pt>
              </c:strCache>
            </c:strRef>
          </c:cat>
          <c:val>
            <c:numRef>
              <c:f>'Funnel Drop-off'!$B$2:$B$7</c:f>
              <c:numCache>
                <c:formatCode>#,##0</c:formatCode>
                <c:ptCount val="6"/>
                <c:pt idx="0">
                  <c:v>8081931</c:v>
                </c:pt>
                <c:pt idx="1">
                  <c:v>349856</c:v>
                </c:pt>
                <c:pt idx="2">
                  <c:v>96717</c:v>
                </c:pt>
                <c:pt idx="3">
                  <c:v>56240</c:v>
                </c:pt>
                <c:pt idx="4">
                  <c:v>43422</c:v>
                </c:pt>
                <c:pt idx="5">
                  <c:v>15435</c:v>
                </c:pt>
              </c:numCache>
            </c:numRef>
          </c:val>
        </c:ser>
        <c:gapWidth val="150"/>
        <c:overlap val="0"/>
        <c:axId val="59920291"/>
        <c:axId val="71155475"/>
      </c:barChart>
      <c:catAx>
        <c:axId val="599202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55475"/>
        <c:crosses val="autoZero"/>
        <c:auto val="1"/>
        <c:lblAlgn val="ctr"/>
        <c:lblOffset val="100"/>
        <c:noMultiLvlLbl val="0"/>
      </c:catAx>
      <c:valAx>
        <c:axId val="711554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202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'Channel Summary'!H1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'Channel Summary'!$A$2:$A$9</c:f>
              <c:strCache>
                <c:ptCount val="8"/>
                <c:pt idx="0">
                  <c:v>Email Marketing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 Ads</c:v>
                </c:pt>
                <c:pt idx="4">
                  <c:v>LinkedIn Ads</c:v>
                </c:pt>
                <c:pt idx="5">
                  <c:v>Organic Search</c:v>
                </c:pt>
                <c:pt idx="6">
                  <c:v>Referral</c:v>
                </c:pt>
                <c:pt idx="7">
                  <c:v>YouTube Ads</c:v>
                </c:pt>
              </c:strCache>
            </c:strRef>
          </c:cat>
          <c:val>
            <c:numRef>
              <c:f>'Channel Summary'!$H$2:$H$9</c:f>
              <c:numCache>
                <c:formatCode>#,##0.00</c:formatCode>
                <c:ptCount val="8"/>
                <c:pt idx="0">
                  <c:v>25818870.34</c:v>
                </c:pt>
                <c:pt idx="1">
                  <c:v>2806173.85</c:v>
                </c:pt>
                <c:pt idx="2">
                  <c:v>10950005.94</c:v>
                </c:pt>
                <c:pt idx="3">
                  <c:v>1316829.62</c:v>
                </c:pt>
                <c:pt idx="4">
                  <c:v>5399006.18</c:v>
                </c:pt>
                <c:pt idx="5">
                  <c:v>19967636.81</c:v>
                </c:pt>
                <c:pt idx="6">
                  <c:v>45107595.42</c:v>
                </c:pt>
                <c:pt idx="7">
                  <c:v>656466.57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130680</xdr:rowOff>
    </xdr:from>
    <xdr:to>
      <xdr:col>6</xdr:col>
      <xdr:colOff>473400</xdr:colOff>
      <xdr:row>23</xdr:row>
      <xdr:rowOff>132120</xdr:rowOff>
    </xdr:to>
    <xdr:graphicFrame>
      <xdr:nvGraphicFramePr>
        <xdr:cNvPr id="0" name="Chart 1"/>
        <xdr:cNvGraphicFramePr/>
      </xdr:nvGraphicFramePr>
      <xdr:xfrm>
        <a:off x="611640" y="1495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6</xdr:row>
      <xdr:rowOff>130680</xdr:rowOff>
    </xdr:from>
    <xdr:to>
      <xdr:col>16</xdr:col>
      <xdr:colOff>307800</xdr:colOff>
      <xdr:row>23</xdr:row>
      <xdr:rowOff>132120</xdr:rowOff>
    </xdr:to>
    <xdr:graphicFrame>
      <xdr:nvGraphicFramePr>
        <xdr:cNvPr id="1" name="Chart 2"/>
        <xdr:cNvGraphicFramePr/>
      </xdr:nvGraphicFramePr>
      <xdr:xfrm>
        <a:off x="10127160" y="1495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131040</xdr:rowOff>
    </xdr:from>
    <xdr:to>
      <xdr:col>6</xdr:col>
      <xdr:colOff>473400</xdr:colOff>
      <xdr:row>40</xdr:row>
      <xdr:rowOff>132120</xdr:rowOff>
    </xdr:to>
    <xdr:graphicFrame>
      <xdr:nvGraphicFramePr>
        <xdr:cNvPr id="2" name="Chart 3"/>
        <xdr:cNvGraphicFramePr/>
      </xdr:nvGraphicFramePr>
      <xdr:xfrm>
        <a:off x="611640" y="4734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23</xdr:row>
      <xdr:rowOff>131040</xdr:rowOff>
    </xdr:from>
    <xdr:to>
      <xdr:col>16</xdr:col>
      <xdr:colOff>307800</xdr:colOff>
      <xdr:row>40</xdr:row>
      <xdr:rowOff>132120</xdr:rowOff>
    </xdr:to>
    <xdr:graphicFrame>
      <xdr:nvGraphicFramePr>
        <xdr:cNvPr id="3" name="Chart 4"/>
        <xdr:cNvGraphicFramePr/>
      </xdr:nvGraphicFramePr>
      <xdr:xfrm>
        <a:off x="10127160" y="4734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J1001" headerRowCount="1" totalsRowCount="0" totalsRowShown="0">
  <autoFilter ref="A1:J1001"/>
  <tableColumns count="10">
    <tableColumn id="1" name="Date"/>
    <tableColumn id="2" name="Marketing Channel"/>
    <tableColumn id="3" name="Impressions"/>
    <tableColumn id="4" name="Clicks"/>
    <tableColumn id="5" name="Leads"/>
    <tableColumn id="6" name="Qualified Leads"/>
    <tableColumn id="7" name="Sales Calls"/>
    <tableColumn id="8" name="Customers"/>
    <tableColumn id="9" name="Revenue"/>
    <tableColumn id="10" name="Ad Spen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n">
        <v>3325</v>
      </c>
      <c r="D2" s="0" t="n">
        <v>486</v>
      </c>
      <c r="E2" s="0" t="n">
        <v>192</v>
      </c>
      <c r="F2" s="0" t="n">
        <v>121</v>
      </c>
      <c r="G2" s="0" t="n">
        <v>94</v>
      </c>
      <c r="H2" s="0" t="n">
        <v>29</v>
      </c>
      <c r="I2" s="0" t="n">
        <v>170528.84</v>
      </c>
      <c r="J2" s="0" t="n">
        <v>1969.61</v>
      </c>
    </row>
    <row r="3" customFormat="false" ht="15" hidden="false" customHeight="false" outlineLevel="0" collapsed="false">
      <c r="A3" s="0" t="s">
        <v>10</v>
      </c>
      <c r="B3" s="0" t="s">
        <v>12</v>
      </c>
      <c r="C3" s="0" t="n">
        <v>15213</v>
      </c>
      <c r="D3" s="0" t="n">
        <v>389</v>
      </c>
      <c r="E3" s="0" t="n">
        <v>59</v>
      </c>
      <c r="F3" s="0" t="n">
        <v>32</v>
      </c>
      <c r="G3" s="0" t="n">
        <v>24</v>
      </c>
      <c r="H3" s="0" t="n">
        <v>5</v>
      </c>
      <c r="I3" s="0" t="n">
        <v>21834.05</v>
      </c>
      <c r="J3" s="0" t="n">
        <v>3607.11</v>
      </c>
    </row>
    <row r="4" customFormat="false" ht="15" hidden="false" customHeight="false" outlineLevel="0" collapsed="false">
      <c r="A4" s="0" t="s">
        <v>10</v>
      </c>
      <c r="B4" s="0" t="s">
        <v>13</v>
      </c>
      <c r="C4" s="0" t="n">
        <v>8745</v>
      </c>
      <c r="D4" s="0" t="n">
        <v>511</v>
      </c>
      <c r="E4" s="0" t="n">
        <v>139</v>
      </c>
      <c r="F4" s="0" t="n">
        <v>81</v>
      </c>
      <c r="G4" s="0" t="n">
        <v>58</v>
      </c>
      <c r="H4" s="0" t="n">
        <v>15</v>
      </c>
      <c r="I4" s="0" t="n">
        <v>113977.93</v>
      </c>
      <c r="J4" s="0" t="n">
        <v>7450.81</v>
      </c>
    </row>
    <row r="5" customFormat="false" ht="15" hidden="false" customHeight="false" outlineLevel="0" collapsed="false">
      <c r="A5" s="0" t="s">
        <v>10</v>
      </c>
      <c r="B5" s="0" t="s">
        <v>14</v>
      </c>
      <c r="C5" s="0" t="n">
        <v>10346</v>
      </c>
      <c r="D5" s="0" t="n">
        <v>211</v>
      </c>
      <c r="E5" s="0" t="n">
        <v>35</v>
      </c>
      <c r="F5" s="0" t="n">
        <v>14</v>
      </c>
      <c r="G5" s="0" t="n">
        <v>9</v>
      </c>
      <c r="H5" s="0" t="n">
        <v>1</v>
      </c>
      <c r="I5" s="0" t="n">
        <v>4532.72</v>
      </c>
      <c r="J5" s="0" t="n">
        <v>1908.5</v>
      </c>
    </row>
    <row r="6" customFormat="false" ht="15" hidden="false" customHeight="false" outlineLevel="0" collapsed="false">
      <c r="A6" s="0" t="s">
        <v>10</v>
      </c>
      <c r="B6" s="0" t="s">
        <v>15</v>
      </c>
      <c r="C6" s="0" t="n">
        <v>3824</v>
      </c>
      <c r="D6" s="0" t="n">
        <v>136</v>
      </c>
      <c r="E6" s="0" t="n">
        <v>27</v>
      </c>
      <c r="F6" s="0" t="n">
        <v>18</v>
      </c>
      <c r="G6" s="0" t="n">
        <v>14</v>
      </c>
      <c r="H6" s="0" t="n">
        <v>4</v>
      </c>
      <c r="I6" s="0" t="n">
        <v>43410.48</v>
      </c>
      <c r="J6" s="0" t="n">
        <v>5732.52</v>
      </c>
    </row>
    <row r="7" customFormat="false" ht="15" hidden="false" customHeight="false" outlineLevel="0" collapsed="false">
      <c r="A7" s="0" t="s">
        <v>10</v>
      </c>
      <c r="B7" s="0" t="s">
        <v>16</v>
      </c>
      <c r="C7" s="0" t="n">
        <v>7098</v>
      </c>
      <c r="D7" s="0" t="n">
        <v>424</v>
      </c>
      <c r="E7" s="0" t="n">
        <v>85</v>
      </c>
      <c r="F7" s="0" t="n">
        <v>50</v>
      </c>
      <c r="G7" s="0" t="n">
        <v>35</v>
      </c>
      <c r="H7" s="0" t="n">
        <v>14</v>
      </c>
      <c r="I7" s="0" t="n">
        <v>105842.86</v>
      </c>
      <c r="J7" s="0" t="n">
        <v>688.33</v>
      </c>
    </row>
    <row r="8" customFormat="false" ht="15" hidden="false" customHeight="false" outlineLevel="0" collapsed="false">
      <c r="A8" s="0" t="s">
        <v>10</v>
      </c>
      <c r="B8" s="0" t="s">
        <v>17</v>
      </c>
      <c r="C8" s="0" t="n">
        <v>2640</v>
      </c>
      <c r="D8" s="0" t="n">
        <v>312</v>
      </c>
      <c r="E8" s="0" t="n">
        <v>155</v>
      </c>
      <c r="F8" s="0" t="n">
        <v>112</v>
      </c>
      <c r="G8" s="0" t="n">
        <v>97</v>
      </c>
      <c r="H8" s="0" t="n">
        <v>47</v>
      </c>
      <c r="I8" s="0" t="n">
        <v>458984.27</v>
      </c>
      <c r="J8" s="0" t="n">
        <v>685.09</v>
      </c>
    </row>
    <row r="9" customFormat="false" ht="15" hidden="false" customHeight="false" outlineLevel="0" collapsed="false">
      <c r="A9" s="0" t="s">
        <v>10</v>
      </c>
      <c r="B9" s="0" t="s">
        <v>18</v>
      </c>
      <c r="C9" s="0" t="n">
        <v>5619</v>
      </c>
      <c r="D9" s="0" t="n">
        <v>78</v>
      </c>
      <c r="E9" s="0" t="n">
        <v>11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1426.42</v>
      </c>
    </row>
    <row r="10" customFormat="false" ht="15" hidden="false" customHeight="false" outlineLevel="0" collapsed="false">
      <c r="A10" s="0" t="s">
        <v>19</v>
      </c>
      <c r="B10" s="0" t="s">
        <v>11</v>
      </c>
      <c r="C10" s="0" t="n">
        <v>5613</v>
      </c>
      <c r="D10" s="0" t="n">
        <v>617</v>
      </c>
      <c r="E10" s="0" t="n">
        <v>186</v>
      </c>
      <c r="F10" s="0" t="n">
        <v>104</v>
      </c>
      <c r="G10" s="0" t="n">
        <v>78</v>
      </c>
      <c r="H10" s="0" t="n">
        <v>28</v>
      </c>
      <c r="I10" s="0" t="n">
        <v>168479.96</v>
      </c>
      <c r="J10" s="0" t="n">
        <v>1815.87</v>
      </c>
    </row>
    <row r="11" customFormat="false" ht="15" hidden="false" customHeight="false" outlineLevel="0" collapsed="false">
      <c r="A11" s="0" t="s">
        <v>19</v>
      </c>
      <c r="B11" s="0" t="s">
        <v>12</v>
      </c>
      <c r="C11" s="0" t="n">
        <v>8066</v>
      </c>
      <c r="D11" s="0" t="n">
        <v>219</v>
      </c>
      <c r="E11" s="0" t="n">
        <v>48</v>
      </c>
      <c r="F11" s="0" t="n">
        <v>24</v>
      </c>
      <c r="G11" s="0" t="n">
        <v>18</v>
      </c>
      <c r="H11" s="0" t="n">
        <v>3</v>
      </c>
      <c r="I11" s="0" t="n">
        <v>12695.21</v>
      </c>
      <c r="J11" s="0" t="n">
        <v>2301.53</v>
      </c>
    </row>
    <row r="12" customFormat="false" ht="15" hidden="false" customHeight="false" outlineLevel="0" collapsed="false">
      <c r="A12" s="0" t="s">
        <v>19</v>
      </c>
      <c r="B12" s="0" t="s">
        <v>13</v>
      </c>
      <c r="C12" s="0" t="n">
        <v>7809</v>
      </c>
      <c r="D12" s="0" t="n">
        <v>361</v>
      </c>
      <c r="E12" s="0" t="n">
        <v>77</v>
      </c>
      <c r="F12" s="0" t="n">
        <v>47</v>
      </c>
      <c r="G12" s="0" t="n">
        <v>33</v>
      </c>
      <c r="H12" s="0" t="n">
        <v>11</v>
      </c>
      <c r="I12" s="0" t="n">
        <v>61557.62</v>
      </c>
      <c r="J12" s="0" t="n">
        <v>7841.8</v>
      </c>
    </row>
    <row r="13" customFormat="false" ht="15" hidden="false" customHeight="false" outlineLevel="0" collapsed="false">
      <c r="A13" s="0" t="s">
        <v>19</v>
      </c>
      <c r="B13" s="0" t="s">
        <v>14</v>
      </c>
      <c r="C13" s="0" t="n">
        <v>16494</v>
      </c>
      <c r="D13" s="0" t="n">
        <v>362</v>
      </c>
      <c r="E13" s="0" t="n">
        <v>57</v>
      </c>
      <c r="F13" s="0" t="n">
        <v>22</v>
      </c>
      <c r="G13" s="0" t="n">
        <v>14</v>
      </c>
      <c r="H13" s="0" t="n">
        <v>2</v>
      </c>
      <c r="I13" s="0" t="n">
        <v>10150.23</v>
      </c>
      <c r="J13" s="0" t="n">
        <v>4382.82</v>
      </c>
    </row>
    <row r="14" customFormat="false" ht="15" hidden="false" customHeight="false" outlineLevel="0" collapsed="false">
      <c r="A14" s="0" t="s">
        <v>19</v>
      </c>
      <c r="B14" s="0" t="s">
        <v>15</v>
      </c>
      <c r="C14" s="0" t="n">
        <v>5548</v>
      </c>
      <c r="D14" s="0" t="n">
        <v>163</v>
      </c>
      <c r="E14" s="0" t="n">
        <v>31</v>
      </c>
      <c r="F14" s="0" t="n">
        <v>21</v>
      </c>
      <c r="G14" s="0" t="n">
        <v>17</v>
      </c>
      <c r="H14" s="0" t="n">
        <v>6</v>
      </c>
      <c r="I14" s="0" t="n">
        <v>74813.87</v>
      </c>
      <c r="J14" s="0" t="n">
        <v>7403.35</v>
      </c>
    </row>
    <row r="15" customFormat="false" ht="15" hidden="false" customHeight="false" outlineLevel="0" collapsed="false">
      <c r="A15" s="0" t="s">
        <v>19</v>
      </c>
      <c r="B15" s="0" t="s">
        <v>16</v>
      </c>
      <c r="C15" s="0" t="n">
        <v>14168</v>
      </c>
      <c r="D15" s="0" t="n">
        <v>707</v>
      </c>
      <c r="E15" s="0" t="n">
        <v>164</v>
      </c>
      <c r="F15" s="0" t="n">
        <v>94</v>
      </c>
      <c r="G15" s="0" t="n">
        <v>66</v>
      </c>
      <c r="H15" s="0" t="n">
        <v>23</v>
      </c>
      <c r="I15" s="0" t="n">
        <v>149124.27</v>
      </c>
      <c r="J15" s="0" t="n">
        <v>1116.71</v>
      </c>
    </row>
    <row r="16" customFormat="false" ht="15" hidden="false" customHeight="false" outlineLevel="0" collapsed="false">
      <c r="A16" s="0" t="s">
        <v>19</v>
      </c>
      <c r="B16" s="0" t="s">
        <v>17</v>
      </c>
      <c r="C16" s="0" t="n">
        <v>3789</v>
      </c>
      <c r="D16" s="0" t="n">
        <v>685</v>
      </c>
      <c r="E16" s="0" t="n">
        <v>317</v>
      </c>
      <c r="F16" s="0" t="n">
        <v>233</v>
      </c>
      <c r="G16" s="0" t="n">
        <v>200</v>
      </c>
      <c r="H16" s="0" t="n">
        <v>83</v>
      </c>
      <c r="I16" s="0" t="n">
        <v>715296.22</v>
      </c>
      <c r="J16" s="0" t="n">
        <v>1907.81</v>
      </c>
    </row>
    <row r="17" customFormat="false" ht="15" hidden="false" customHeight="false" outlineLevel="0" collapsed="false">
      <c r="A17" s="0" t="s">
        <v>19</v>
      </c>
      <c r="B17" s="0" t="s">
        <v>18</v>
      </c>
      <c r="C17" s="0" t="n">
        <v>10652</v>
      </c>
      <c r="D17" s="0" t="n">
        <v>297</v>
      </c>
      <c r="E17" s="0" t="n">
        <v>51</v>
      </c>
      <c r="F17" s="0" t="n">
        <v>18</v>
      </c>
      <c r="G17" s="0" t="n">
        <v>11</v>
      </c>
      <c r="H17" s="0" t="n">
        <v>2</v>
      </c>
      <c r="I17" s="0" t="n">
        <v>11442.92</v>
      </c>
      <c r="J17" s="0" t="n">
        <v>5399.5</v>
      </c>
    </row>
    <row r="18" customFormat="false" ht="15" hidden="false" customHeight="false" outlineLevel="0" collapsed="false">
      <c r="A18" s="0" t="s">
        <v>20</v>
      </c>
      <c r="B18" s="0" t="s">
        <v>11</v>
      </c>
      <c r="C18" s="0" t="n">
        <v>4838</v>
      </c>
      <c r="D18" s="0" t="n">
        <v>601</v>
      </c>
      <c r="E18" s="0" t="n">
        <v>218</v>
      </c>
      <c r="F18" s="0" t="n">
        <v>131</v>
      </c>
      <c r="G18" s="0" t="n">
        <v>99</v>
      </c>
      <c r="H18" s="0" t="n">
        <v>37</v>
      </c>
      <c r="I18" s="0" t="n">
        <v>198802.37</v>
      </c>
      <c r="J18" s="0" t="n">
        <v>1780.37</v>
      </c>
    </row>
    <row r="19" customFormat="false" ht="15" hidden="false" customHeight="false" outlineLevel="0" collapsed="false">
      <c r="A19" s="0" t="s">
        <v>20</v>
      </c>
      <c r="B19" s="0" t="s">
        <v>12</v>
      </c>
      <c r="C19" s="0" t="n">
        <v>14225</v>
      </c>
      <c r="D19" s="0" t="n">
        <v>363</v>
      </c>
      <c r="E19" s="0" t="n">
        <v>67</v>
      </c>
      <c r="F19" s="0" t="n">
        <v>36</v>
      </c>
      <c r="G19" s="0" t="n">
        <v>28</v>
      </c>
      <c r="H19" s="0" t="n">
        <v>6</v>
      </c>
      <c r="I19" s="0" t="n">
        <v>27610.54</v>
      </c>
      <c r="J19" s="0" t="n">
        <v>4167.51</v>
      </c>
    </row>
    <row r="20" customFormat="false" ht="15" hidden="false" customHeight="false" outlineLevel="0" collapsed="false">
      <c r="A20" s="0" t="s">
        <v>20</v>
      </c>
      <c r="B20" s="0" t="s">
        <v>13</v>
      </c>
      <c r="C20" s="0" t="n">
        <v>5069</v>
      </c>
      <c r="D20" s="0" t="n">
        <v>229</v>
      </c>
      <c r="E20" s="0" t="n">
        <v>55</v>
      </c>
      <c r="F20" s="0" t="n">
        <v>29</v>
      </c>
      <c r="G20" s="0" t="n">
        <v>20</v>
      </c>
      <c r="H20" s="0" t="n">
        <v>5</v>
      </c>
      <c r="I20" s="0" t="n">
        <v>29848.04</v>
      </c>
      <c r="J20" s="0" t="n">
        <v>5365.26</v>
      </c>
    </row>
    <row r="21" customFormat="false" ht="15" hidden="false" customHeight="false" outlineLevel="0" collapsed="false">
      <c r="A21" s="0" t="s">
        <v>20</v>
      </c>
      <c r="B21" s="0" t="s">
        <v>14</v>
      </c>
      <c r="C21" s="0" t="n">
        <v>10133</v>
      </c>
      <c r="D21" s="0" t="n">
        <v>127</v>
      </c>
      <c r="E21" s="0" t="n">
        <v>23</v>
      </c>
      <c r="F21" s="0" t="n">
        <v>10</v>
      </c>
      <c r="G21" s="0" t="n">
        <v>6</v>
      </c>
      <c r="H21" s="0" t="n">
        <v>1</v>
      </c>
      <c r="I21" s="0" t="n">
        <v>4279.12</v>
      </c>
      <c r="J21" s="0" t="n">
        <v>1696.45</v>
      </c>
    </row>
    <row r="22" customFormat="false" ht="15" hidden="false" customHeight="false" outlineLevel="0" collapsed="false">
      <c r="A22" s="0" t="s">
        <v>20</v>
      </c>
      <c r="B22" s="0" t="s">
        <v>15</v>
      </c>
      <c r="C22" s="0" t="n">
        <v>2579</v>
      </c>
      <c r="D22" s="0" t="n">
        <v>76</v>
      </c>
      <c r="E22" s="0" t="n">
        <v>21</v>
      </c>
      <c r="F22" s="0" t="n">
        <v>13</v>
      </c>
      <c r="G22" s="0" t="n">
        <v>10</v>
      </c>
      <c r="H22" s="0" t="n">
        <v>3</v>
      </c>
      <c r="I22" s="0" t="n">
        <v>40923.25</v>
      </c>
      <c r="J22" s="0" t="n">
        <v>2641.21</v>
      </c>
    </row>
    <row r="23" customFormat="false" ht="15" hidden="false" customHeight="false" outlineLevel="0" collapsed="false">
      <c r="A23" s="0" t="s">
        <v>20</v>
      </c>
      <c r="B23" s="0" t="s">
        <v>16</v>
      </c>
      <c r="C23" s="0" t="n">
        <v>6366</v>
      </c>
      <c r="D23" s="0" t="n">
        <v>405</v>
      </c>
      <c r="E23" s="0" t="n">
        <v>102</v>
      </c>
      <c r="F23" s="0" t="n">
        <v>51</v>
      </c>
      <c r="G23" s="0" t="n">
        <v>37</v>
      </c>
      <c r="H23" s="0" t="n">
        <v>13</v>
      </c>
      <c r="I23" s="0" t="n">
        <v>84800.29</v>
      </c>
      <c r="J23" s="0" t="n">
        <v>927.59</v>
      </c>
    </row>
    <row r="24" customFormat="false" ht="15" hidden="false" customHeight="false" outlineLevel="0" collapsed="false">
      <c r="A24" s="0" t="s">
        <v>20</v>
      </c>
      <c r="B24" s="0" t="s">
        <v>17</v>
      </c>
      <c r="C24" s="0" t="n">
        <v>3072</v>
      </c>
      <c r="D24" s="0" t="n">
        <v>426</v>
      </c>
      <c r="E24" s="0" t="n">
        <v>210</v>
      </c>
      <c r="F24" s="0" t="n">
        <v>139</v>
      </c>
      <c r="G24" s="0" t="n">
        <v>113</v>
      </c>
      <c r="H24" s="0" t="n">
        <v>46</v>
      </c>
      <c r="I24" s="0" t="n">
        <v>443072.83</v>
      </c>
      <c r="J24" s="0" t="n">
        <v>1213.84</v>
      </c>
    </row>
    <row r="25" customFormat="false" ht="15" hidden="false" customHeight="false" outlineLevel="0" collapsed="false">
      <c r="A25" s="0" t="s">
        <v>20</v>
      </c>
      <c r="B25" s="0" t="s">
        <v>18</v>
      </c>
      <c r="C25" s="0" t="n">
        <v>6805</v>
      </c>
      <c r="D25" s="0" t="n">
        <v>157</v>
      </c>
      <c r="E25" s="0" t="n">
        <v>32</v>
      </c>
      <c r="F25" s="0" t="n">
        <v>13</v>
      </c>
      <c r="G25" s="0" t="n">
        <v>8</v>
      </c>
      <c r="H25" s="0" t="n">
        <v>1</v>
      </c>
      <c r="I25" s="0" t="n">
        <v>5794.43</v>
      </c>
      <c r="J25" s="0" t="n">
        <v>1716.17</v>
      </c>
    </row>
    <row r="26" customFormat="false" ht="15" hidden="false" customHeight="false" outlineLevel="0" collapsed="false">
      <c r="A26" s="0" t="s">
        <v>21</v>
      </c>
      <c r="B26" s="0" t="s">
        <v>11</v>
      </c>
      <c r="C26" s="0" t="n">
        <v>3677</v>
      </c>
      <c r="D26" s="0" t="n">
        <v>356</v>
      </c>
      <c r="E26" s="0" t="n">
        <v>141</v>
      </c>
      <c r="F26" s="0" t="n">
        <v>83</v>
      </c>
      <c r="G26" s="0" t="n">
        <v>69</v>
      </c>
      <c r="H26" s="0" t="n">
        <v>25</v>
      </c>
      <c r="I26" s="0" t="n">
        <v>150131.85</v>
      </c>
      <c r="J26" s="0" t="n">
        <v>1560.86</v>
      </c>
    </row>
    <row r="27" customFormat="false" ht="15" hidden="false" customHeight="false" outlineLevel="0" collapsed="false">
      <c r="A27" s="0" t="s">
        <v>21</v>
      </c>
      <c r="B27" s="0" t="s">
        <v>12</v>
      </c>
      <c r="C27" s="0" t="n">
        <v>13348</v>
      </c>
      <c r="D27" s="0" t="n">
        <v>217</v>
      </c>
      <c r="E27" s="0" t="n">
        <v>36</v>
      </c>
      <c r="F27" s="0" t="n">
        <v>19</v>
      </c>
      <c r="G27" s="0" t="n">
        <v>14</v>
      </c>
      <c r="H27" s="0" t="n">
        <v>2</v>
      </c>
      <c r="I27" s="0" t="n">
        <v>10654.01</v>
      </c>
      <c r="J27" s="0" t="n">
        <v>1890.14</v>
      </c>
    </row>
    <row r="28" customFormat="false" ht="15" hidden="false" customHeight="false" outlineLevel="0" collapsed="false">
      <c r="A28" s="0" t="s">
        <v>21</v>
      </c>
      <c r="B28" s="0" t="s">
        <v>13</v>
      </c>
      <c r="C28" s="0" t="n">
        <v>11903</v>
      </c>
      <c r="D28" s="0" t="n">
        <v>583</v>
      </c>
      <c r="E28" s="0" t="n">
        <v>136</v>
      </c>
      <c r="F28" s="0" t="n">
        <v>75</v>
      </c>
      <c r="G28" s="0" t="n">
        <v>60</v>
      </c>
      <c r="H28" s="0" t="n">
        <v>20</v>
      </c>
      <c r="I28" s="0" t="n">
        <v>146792.53</v>
      </c>
      <c r="J28" s="0" t="n">
        <v>13333.71</v>
      </c>
    </row>
    <row r="29" customFormat="false" ht="15" hidden="false" customHeight="false" outlineLevel="0" collapsed="false">
      <c r="A29" s="0" t="s">
        <v>21</v>
      </c>
      <c r="B29" s="0" t="s">
        <v>14</v>
      </c>
      <c r="C29" s="0" t="n">
        <v>5997</v>
      </c>
      <c r="D29" s="0" t="n">
        <v>87</v>
      </c>
      <c r="E29" s="0" t="n">
        <v>15</v>
      </c>
      <c r="F29" s="0" t="n">
        <v>7</v>
      </c>
      <c r="G29" s="0" t="n">
        <v>5</v>
      </c>
      <c r="H29" s="0" t="n">
        <v>1</v>
      </c>
      <c r="I29" s="0" t="n">
        <v>4274.5</v>
      </c>
      <c r="J29" s="0" t="n">
        <v>1042.72</v>
      </c>
    </row>
    <row r="30" customFormat="false" ht="15" hidden="false" customHeight="false" outlineLevel="0" collapsed="false">
      <c r="A30" s="0" t="s">
        <v>21</v>
      </c>
      <c r="B30" s="0" t="s">
        <v>15</v>
      </c>
      <c r="C30" s="0" t="n">
        <v>2806</v>
      </c>
      <c r="D30" s="0" t="n">
        <v>98</v>
      </c>
      <c r="E30" s="0" t="n">
        <v>24</v>
      </c>
      <c r="F30" s="0" t="n">
        <v>17</v>
      </c>
      <c r="G30" s="0" t="n">
        <v>13</v>
      </c>
      <c r="H30" s="0" t="n">
        <v>4</v>
      </c>
      <c r="I30" s="0" t="n">
        <v>47354.32</v>
      </c>
      <c r="J30" s="0" t="n">
        <v>3123.6</v>
      </c>
    </row>
    <row r="31" customFormat="false" ht="15" hidden="false" customHeight="false" outlineLevel="0" collapsed="false">
      <c r="A31" s="0" t="s">
        <v>21</v>
      </c>
      <c r="B31" s="0" t="s">
        <v>16</v>
      </c>
      <c r="C31" s="0" t="n">
        <v>9513</v>
      </c>
      <c r="D31" s="0" t="n">
        <v>567</v>
      </c>
      <c r="E31" s="0" t="n">
        <v>122</v>
      </c>
      <c r="F31" s="0" t="n">
        <v>69</v>
      </c>
      <c r="G31" s="0" t="n">
        <v>49</v>
      </c>
      <c r="H31" s="0" t="n">
        <v>17</v>
      </c>
      <c r="I31" s="0" t="n">
        <v>111032.64</v>
      </c>
      <c r="J31" s="0" t="n">
        <v>1298.97</v>
      </c>
    </row>
    <row r="32" customFormat="false" ht="15" hidden="false" customHeight="false" outlineLevel="0" collapsed="false">
      <c r="A32" s="0" t="s">
        <v>21</v>
      </c>
      <c r="B32" s="0" t="s">
        <v>17</v>
      </c>
      <c r="C32" s="0" t="n">
        <v>3248</v>
      </c>
      <c r="D32" s="0" t="n">
        <v>634</v>
      </c>
      <c r="E32" s="0" t="n">
        <v>311</v>
      </c>
      <c r="F32" s="0" t="n">
        <v>213</v>
      </c>
      <c r="G32" s="0" t="n">
        <v>166</v>
      </c>
      <c r="H32" s="0" t="n">
        <v>81</v>
      </c>
      <c r="I32" s="0" t="n">
        <v>801897.12</v>
      </c>
      <c r="J32" s="0" t="n">
        <v>1176.94</v>
      </c>
    </row>
    <row r="33" customFormat="false" ht="15" hidden="false" customHeight="false" outlineLevel="0" collapsed="false">
      <c r="A33" s="0" t="s">
        <v>21</v>
      </c>
      <c r="B33" s="0" t="s">
        <v>18</v>
      </c>
      <c r="C33" s="0" t="n">
        <v>9983</v>
      </c>
      <c r="D33" s="0" t="n">
        <v>270</v>
      </c>
      <c r="E33" s="0" t="n">
        <v>46</v>
      </c>
      <c r="F33" s="0" t="n">
        <v>18</v>
      </c>
      <c r="G33" s="0" t="n">
        <v>13</v>
      </c>
      <c r="H33" s="0" t="n">
        <v>2</v>
      </c>
      <c r="I33" s="0" t="n">
        <v>10227.21</v>
      </c>
      <c r="J33" s="0" t="n">
        <v>3157.63</v>
      </c>
    </row>
    <row r="34" customFormat="false" ht="15" hidden="false" customHeight="false" outlineLevel="0" collapsed="false">
      <c r="A34" s="0" t="s">
        <v>22</v>
      </c>
      <c r="B34" s="0" t="s">
        <v>11</v>
      </c>
      <c r="C34" s="0" t="n">
        <v>3767</v>
      </c>
      <c r="D34" s="0" t="n">
        <v>457</v>
      </c>
      <c r="E34" s="0" t="n">
        <v>138</v>
      </c>
      <c r="F34" s="0" t="n">
        <v>76</v>
      </c>
      <c r="G34" s="0" t="n">
        <v>63</v>
      </c>
      <c r="H34" s="0" t="n">
        <v>21</v>
      </c>
      <c r="I34" s="0" t="n">
        <v>126934.22</v>
      </c>
      <c r="J34" s="0" t="n">
        <v>1088.2</v>
      </c>
    </row>
    <row r="35" customFormat="false" ht="15" hidden="false" customHeight="false" outlineLevel="0" collapsed="false">
      <c r="A35" s="0" t="s">
        <v>22</v>
      </c>
      <c r="B35" s="0" t="s">
        <v>12</v>
      </c>
      <c r="C35" s="0" t="n">
        <v>15749</v>
      </c>
      <c r="D35" s="0" t="n">
        <v>411</v>
      </c>
      <c r="E35" s="0" t="n">
        <v>90</v>
      </c>
      <c r="F35" s="0" t="n">
        <v>45</v>
      </c>
      <c r="G35" s="0" t="n">
        <v>31</v>
      </c>
      <c r="H35" s="0" t="n">
        <v>7</v>
      </c>
      <c r="I35" s="0" t="n">
        <v>39341.59</v>
      </c>
      <c r="J35" s="0" t="n">
        <v>5616.53</v>
      </c>
    </row>
    <row r="36" customFormat="false" ht="15" hidden="false" customHeight="false" outlineLevel="0" collapsed="false">
      <c r="A36" s="0" t="s">
        <v>22</v>
      </c>
      <c r="B36" s="0" t="s">
        <v>13</v>
      </c>
      <c r="C36" s="0" t="n">
        <v>12207</v>
      </c>
      <c r="D36" s="0" t="n">
        <v>621</v>
      </c>
      <c r="E36" s="0" t="n">
        <v>159</v>
      </c>
      <c r="F36" s="0" t="n">
        <v>81</v>
      </c>
      <c r="G36" s="0" t="n">
        <v>64</v>
      </c>
      <c r="H36" s="0" t="n">
        <v>22</v>
      </c>
      <c r="I36" s="0" t="n">
        <v>144209.76</v>
      </c>
      <c r="J36" s="0" t="n">
        <v>9563.92</v>
      </c>
    </row>
    <row r="37" customFormat="false" ht="15" hidden="false" customHeight="false" outlineLevel="0" collapsed="false">
      <c r="A37" s="0" t="s">
        <v>22</v>
      </c>
      <c r="B37" s="0" t="s">
        <v>14</v>
      </c>
      <c r="C37" s="0" t="n">
        <v>14057</v>
      </c>
      <c r="D37" s="0" t="n">
        <v>374</v>
      </c>
      <c r="E37" s="0" t="n">
        <v>65</v>
      </c>
      <c r="F37" s="0" t="n">
        <v>29</v>
      </c>
      <c r="G37" s="0" t="n">
        <v>21</v>
      </c>
      <c r="H37" s="0" t="n">
        <v>5</v>
      </c>
      <c r="I37" s="0" t="n">
        <v>26957.93</v>
      </c>
      <c r="J37" s="0" t="n">
        <v>4455.75</v>
      </c>
    </row>
    <row r="38" customFormat="false" ht="15" hidden="false" customHeight="false" outlineLevel="0" collapsed="false">
      <c r="A38" s="0" t="s">
        <v>22</v>
      </c>
      <c r="B38" s="0" t="s">
        <v>15</v>
      </c>
      <c r="C38" s="0" t="n">
        <v>4726</v>
      </c>
      <c r="D38" s="0" t="n">
        <v>126</v>
      </c>
      <c r="E38" s="0" t="n">
        <v>27</v>
      </c>
      <c r="F38" s="0" t="n">
        <v>16</v>
      </c>
      <c r="G38" s="0" t="n">
        <v>12</v>
      </c>
      <c r="H38" s="0" t="n">
        <v>3</v>
      </c>
      <c r="I38" s="0" t="n">
        <v>38139.67</v>
      </c>
      <c r="J38" s="0" t="n">
        <v>4953.31</v>
      </c>
    </row>
    <row r="39" customFormat="false" ht="15" hidden="false" customHeight="false" outlineLevel="0" collapsed="false">
      <c r="A39" s="0" t="s">
        <v>22</v>
      </c>
      <c r="B39" s="0" t="s">
        <v>16</v>
      </c>
      <c r="C39" s="0" t="n">
        <v>10990</v>
      </c>
      <c r="D39" s="0" t="n">
        <v>534</v>
      </c>
      <c r="E39" s="0" t="n">
        <v>133</v>
      </c>
      <c r="F39" s="0" t="n">
        <v>67</v>
      </c>
      <c r="G39" s="0" t="n">
        <v>45</v>
      </c>
      <c r="H39" s="0" t="n">
        <v>18</v>
      </c>
      <c r="I39" s="0" t="n">
        <v>142421.21</v>
      </c>
      <c r="J39" s="0" t="n">
        <v>1111.4</v>
      </c>
    </row>
    <row r="40" customFormat="false" ht="15" hidden="false" customHeight="false" outlineLevel="0" collapsed="false">
      <c r="A40" s="0" t="s">
        <v>22</v>
      </c>
      <c r="B40" s="0" t="s">
        <v>17</v>
      </c>
      <c r="C40" s="0" t="n">
        <v>2701</v>
      </c>
      <c r="D40" s="0" t="n">
        <v>533</v>
      </c>
      <c r="E40" s="0" t="n">
        <v>240</v>
      </c>
      <c r="F40" s="0" t="n">
        <v>163</v>
      </c>
      <c r="G40" s="0" t="n">
        <v>140</v>
      </c>
      <c r="H40" s="0" t="n">
        <v>59</v>
      </c>
      <c r="I40" s="0" t="n">
        <v>426886.78</v>
      </c>
      <c r="J40" s="0" t="n">
        <v>1000.94</v>
      </c>
    </row>
    <row r="41" customFormat="false" ht="15" hidden="false" customHeight="false" outlineLevel="0" collapsed="false">
      <c r="A41" s="0" t="s">
        <v>22</v>
      </c>
      <c r="B41" s="0" t="s">
        <v>18</v>
      </c>
      <c r="C41" s="0" t="n">
        <v>4400</v>
      </c>
      <c r="D41" s="0" t="n">
        <v>128</v>
      </c>
      <c r="E41" s="0" t="n">
        <v>26</v>
      </c>
      <c r="F41" s="0" t="n">
        <v>11</v>
      </c>
      <c r="G41" s="0" t="n">
        <v>7</v>
      </c>
      <c r="H41" s="0" t="n">
        <v>1</v>
      </c>
      <c r="I41" s="0" t="n">
        <v>4500.49</v>
      </c>
      <c r="J41" s="0" t="n">
        <v>1480.24</v>
      </c>
    </row>
    <row r="42" customFormat="false" ht="15" hidden="false" customHeight="false" outlineLevel="0" collapsed="false">
      <c r="A42" s="0" t="s">
        <v>23</v>
      </c>
      <c r="B42" s="0" t="s">
        <v>11</v>
      </c>
      <c r="C42" s="0" t="n">
        <v>6293</v>
      </c>
      <c r="D42" s="0" t="n">
        <v>575</v>
      </c>
      <c r="E42" s="0" t="n">
        <v>176</v>
      </c>
      <c r="F42" s="0" t="n">
        <v>108</v>
      </c>
      <c r="G42" s="0" t="n">
        <v>81</v>
      </c>
      <c r="H42" s="0" t="n">
        <v>29</v>
      </c>
      <c r="I42" s="0" t="n">
        <v>178377.5</v>
      </c>
      <c r="J42" s="0" t="n">
        <v>2771.9</v>
      </c>
    </row>
    <row r="43" customFormat="false" ht="15" hidden="false" customHeight="false" outlineLevel="0" collapsed="false">
      <c r="A43" s="0" t="s">
        <v>23</v>
      </c>
      <c r="B43" s="0" t="s">
        <v>12</v>
      </c>
      <c r="C43" s="0" t="n">
        <v>13035</v>
      </c>
      <c r="D43" s="0" t="n">
        <v>243</v>
      </c>
      <c r="E43" s="0" t="n">
        <v>45</v>
      </c>
      <c r="F43" s="0" t="n">
        <v>23</v>
      </c>
      <c r="G43" s="0" t="n">
        <v>14</v>
      </c>
      <c r="H43" s="0" t="n">
        <v>2</v>
      </c>
      <c r="I43" s="0" t="n">
        <v>8162.92</v>
      </c>
      <c r="J43" s="0" t="n">
        <v>2022.25</v>
      </c>
    </row>
    <row r="44" customFormat="false" ht="15" hidden="false" customHeight="false" outlineLevel="0" collapsed="false">
      <c r="A44" s="0" t="s">
        <v>23</v>
      </c>
      <c r="B44" s="0" t="s">
        <v>13</v>
      </c>
      <c r="C44" s="0" t="n">
        <v>10492</v>
      </c>
      <c r="D44" s="0" t="n">
        <v>539</v>
      </c>
      <c r="E44" s="0" t="n">
        <v>143</v>
      </c>
      <c r="F44" s="0" t="n">
        <v>77</v>
      </c>
      <c r="G44" s="0" t="n">
        <v>64</v>
      </c>
      <c r="H44" s="0" t="n">
        <v>20</v>
      </c>
      <c r="I44" s="0" t="n">
        <v>136703.24</v>
      </c>
      <c r="J44" s="0" t="n">
        <v>10533.97</v>
      </c>
    </row>
    <row r="45" customFormat="false" ht="15" hidden="false" customHeight="false" outlineLevel="0" collapsed="false">
      <c r="A45" s="0" t="s">
        <v>23</v>
      </c>
      <c r="B45" s="0" t="s">
        <v>14</v>
      </c>
      <c r="C45" s="0" t="n">
        <v>16410</v>
      </c>
      <c r="D45" s="0" t="n">
        <v>381</v>
      </c>
      <c r="E45" s="0" t="n">
        <v>65</v>
      </c>
      <c r="F45" s="0" t="n">
        <v>25</v>
      </c>
      <c r="G45" s="0" t="n">
        <v>17</v>
      </c>
      <c r="H45" s="0" t="n">
        <v>3</v>
      </c>
      <c r="I45" s="0" t="n">
        <v>14003.11</v>
      </c>
      <c r="J45" s="0" t="n">
        <v>3128.93</v>
      </c>
    </row>
    <row r="46" customFormat="false" ht="15" hidden="false" customHeight="false" outlineLevel="0" collapsed="false">
      <c r="A46" s="0" t="s">
        <v>23</v>
      </c>
      <c r="B46" s="0" t="s">
        <v>15</v>
      </c>
      <c r="C46" s="0" t="n">
        <v>3594</v>
      </c>
      <c r="D46" s="0" t="n">
        <v>116</v>
      </c>
      <c r="E46" s="0" t="n">
        <v>28</v>
      </c>
      <c r="F46" s="0" t="n">
        <v>16</v>
      </c>
      <c r="G46" s="0" t="n">
        <v>12</v>
      </c>
      <c r="H46" s="0" t="n">
        <v>4</v>
      </c>
      <c r="I46" s="0" t="n">
        <v>57129.8</v>
      </c>
      <c r="J46" s="0" t="n">
        <v>4647.28</v>
      </c>
    </row>
    <row r="47" customFormat="false" ht="15" hidden="false" customHeight="false" outlineLevel="0" collapsed="false">
      <c r="A47" s="0" t="s">
        <v>23</v>
      </c>
      <c r="B47" s="0" t="s">
        <v>16</v>
      </c>
      <c r="C47" s="0" t="n">
        <v>9493</v>
      </c>
      <c r="D47" s="0" t="n">
        <v>623</v>
      </c>
      <c r="E47" s="0" t="n">
        <v>147</v>
      </c>
      <c r="F47" s="0" t="n">
        <v>81</v>
      </c>
      <c r="G47" s="0" t="n">
        <v>64</v>
      </c>
      <c r="H47" s="0" t="n">
        <v>24</v>
      </c>
      <c r="I47" s="0" t="n">
        <v>209185.25</v>
      </c>
      <c r="J47" s="0" t="n">
        <v>1820.64</v>
      </c>
    </row>
    <row r="48" customFormat="false" ht="15" hidden="false" customHeight="false" outlineLevel="0" collapsed="false">
      <c r="A48" s="0" t="s">
        <v>23</v>
      </c>
      <c r="B48" s="0" t="s">
        <v>17</v>
      </c>
      <c r="C48" s="0" t="n">
        <v>1587</v>
      </c>
      <c r="D48" s="0" t="n">
        <v>169</v>
      </c>
      <c r="E48" s="0" t="n">
        <v>69</v>
      </c>
      <c r="F48" s="0" t="n">
        <v>44</v>
      </c>
      <c r="G48" s="0" t="n">
        <v>34</v>
      </c>
      <c r="H48" s="0" t="n">
        <v>15</v>
      </c>
      <c r="I48" s="0" t="n">
        <v>119353.9</v>
      </c>
      <c r="J48" s="0" t="n">
        <v>193.06</v>
      </c>
    </row>
    <row r="49" customFormat="false" ht="15" hidden="false" customHeight="false" outlineLevel="0" collapsed="false">
      <c r="A49" s="0" t="s">
        <v>23</v>
      </c>
      <c r="B49" s="0" t="s">
        <v>18</v>
      </c>
      <c r="C49" s="0" t="n">
        <v>10914</v>
      </c>
      <c r="D49" s="0" t="n">
        <v>114</v>
      </c>
      <c r="E49" s="0" t="n">
        <v>23</v>
      </c>
      <c r="F49" s="0" t="n">
        <v>9</v>
      </c>
      <c r="G49" s="0" t="n">
        <v>5</v>
      </c>
      <c r="H49" s="0" t="n">
        <v>1</v>
      </c>
      <c r="I49" s="0" t="n">
        <v>5754.94</v>
      </c>
      <c r="J49" s="0" t="n">
        <v>1856.99</v>
      </c>
    </row>
    <row r="50" customFormat="false" ht="15" hidden="false" customHeight="false" outlineLevel="0" collapsed="false">
      <c r="A50" s="0" t="s">
        <v>24</v>
      </c>
      <c r="B50" s="0" t="s">
        <v>11</v>
      </c>
      <c r="C50" s="0" t="n">
        <v>4466</v>
      </c>
      <c r="D50" s="0" t="n">
        <v>460</v>
      </c>
      <c r="E50" s="0" t="n">
        <v>168</v>
      </c>
      <c r="F50" s="0" t="n">
        <v>105</v>
      </c>
      <c r="G50" s="0" t="n">
        <v>87</v>
      </c>
      <c r="H50" s="0" t="n">
        <v>32</v>
      </c>
      <c r="I50" s="0" t="n">
        <v>191642.9</v>
      </c>
      <c r="J50" s="0" t="n">
        <v>1045.86</v>
      </c>
    </row>
    <row r="51" customFormat="false" ht="15" hidden="false" customHeight="false" outlineLevel="0" collapsed="false">
      <c r="A51" s="0" t="s">
        <v>24</v>
      </c>
      <c r="B51" s="0" t="s">
        <v>12</v>
      </c>
      <c r="C51" s="0" t="n">
        <v>12464</v>
      </c>
      <c r="D51" s="0" t="n">
        <v>332</v>
      </c>
      <c r="E51" s="0" t="n">
        <v>61</v>
      </c>
      <c r="F51" s="0" t="n">
        <v>32</v>
      </c>
      <c r="G51" s="0" t="n">
        <v>24</v>
      </c>
      <c r="H51" s="0" t="n">
        <v>5</v>
      </c>
      <c r="I51" s="0" t="n">
        <v>27545.43</v>
      </c>
      <c r="J51" s="0" t="n">
        <v>4401.02</v>
      </c>
    </row>
    <row r="52" customFormat="false" ht="15" hidden="false" customHeight="false" outlineLevel="0" collapsed="false">
      <c r="A52" s="0" t="s">
        <v>24</v>
      </c>
      <c r="B52" s="0" t="s">
        <v>13</v>
      </c>
      <c r="C52" s="0" t="n">
        <v>12350</v>
      </c>
      <c r="D52" s="0" t="n">
        <v>668</v>
      </c>
      <c r="E52" s="0" t="n">
        <v>152</v>
      </c>
      <c r="F52" s="0" t="n">
        <v>80</v>
      </c>
      <c r="G52" s="0" t="n">
        <v>65</v>
      </c>
      <c r="H52" s="0" t="n">
        <v>21</v>
      </c>
      <c r="I52" s="0" t="n">
        <v>130994.91</v>
      </c>
      <c r="J52" s="0" t="n">
        <v>15968.57</v>
      </c>
    </row>
    <row r="53" customFormat="false" ht="15" hidden="false" customHeight="false" outlineLevel="0" collapsed="false">
      <c r="A53" s="0" t="s">
        <v>24</v>
      </c>
      <c r="B53" s="0" t="s">
        <v>14</v>
      </c>
      <c r="C53" s="0" t="n">
        <v>8134</v>
      </c>
      <c r="D53" s="0" t="n">
        <v>215</v>
      </c>
      <c r="E53" s="0" t="n">
        <v>37</v>
      </c>
      <c r="F53" s="0" t="n">
        <v>18</v>
      </c>
      <c r="G53" s="0" t="n">
        <v>11</v>
      </c>
      <c r="H53" s="0" t="n">
        <v>2</v>
      </c>
      <c r="I53" s="0" t="n">
        <v>7643.35</v>
      </c>
      <c r="J53" s="0" t="n">
        <v>2090.75</v>
      </c>
    </row>
    <row r="54" customFormat="false" ht="15" hidden="false" customHeight="false" outlineLevel="0" collapsed="false">
      <c r="A54" s="0" t="s">
        <v>24</v>
      </c>
      <c r="B54" s="0" t="s">
        <v>15</v>
      </c>
      <c r="C54" s="0" t="n">
        <v>5621</v>
      </c>
      <c r="D54" s="0" t="n">
        <v>122</v>
      </c>
      <c r="E54" s="0" t="n">
        <v>25</v>
      </c>
      <c r="F54" s="0" t="n">
        <v>18</v>
      </c>
      <c r="G54" s="0" t="n">
        <v>15</v>
      </c>
      <c r="H54" s="0" t="n">
        <v>5</v>
      </c>
      <c r="I54" s="0" t="n">
        <v>61211.14</v>
      </c>
      <c r="J54" s="0" t="n">
        <v>5201.68</v>
      </c>
    </row>
    <row r="55" customFormat="false" ht="15" hidden="false" customHeight="false" outlineLevel="0" collapsed="false">
      <c r="A55" s="0" t="s">
        <v>24</v>
      </c>
      <c r="B55" s="0" t="s">
        <v>16</v>
      </c>
      <c r="C55" s="0" t="n">
        <v>6518</v>
      </c>
      <c r="D55" s="0" t="n">
        <v>403</v>
      </c>
      <c r="E55" s="0" t="n">
        <v>94</v>
      </c>
      <c r="F55" s="0" t="n">
        <v>55</v>
      </c>
      <c r="G55" s="0" t="n">
        <v>39</v>
      </c>
      <c r="H55" s="0" t="n">
        <v>14</v>
      </c>
      <c r="I55" s="0" t="n">
        <v>115983.45</v>
      </c>
      <c r="J55" s="0" t="n">
        <v>518.25</v>
      </c>
    </row>
    <row r="56" customFormat="false" ht="15" hidden="false" customHeight="false" outlineLevel="0" collapsed="false">
      <c r="A56" s="0" t="s">
        <v>24</v>
      </c>
      <c r="B56" s="0" t="s">
        <v>17</v>
      </c>
      <c r="C56" s="0" t="n">
        <v>2854</v>
      </c>
      <c r="D56" s="0" t="n">
        <v>314</v>
      </c>
      <c r="E56" s="0" t="n">
        <v>128</v>
      </c>
      <c r="F56" s="0" t="n">
        <v>92</v>
      </c>
      <c r="G56" s="0" t="n">
        <v>72</v>
      </c>
      <c r="H56" s="0" t="n">
        <v>34</v>
      </c>
      <c r="I56" s="0" t="n">
        <v>246297.58</v>
      </c>
      <c r="J56" s="0" t="n">
        <v>757.52</v>
      </c>
    </row>
    <row r="57" customFormat="false" ht="15" hidden="false" customHeight="false" outlineLevel="0" collapsed="false">
      <c r="A57" s="0" t="s">
        <v>24</v>
      </c>
      <c r="B57" s="0" t="s">
        <v>18</v>
      </c>
      <c r="C57" s="0" t="n">
        <v>5593</v>
      </c>
      <c r="D57" s="0" t="n">
        <v>166</v>
      </c>
      <c r="E57" s="0" t="n">
        <v>29</v>
      </c>
      <c r="F57" s="0" t="n">
        <v>11</v>
      </c>
      <c r="G57" s="0" t="n">
        <v>7</v>
      </c>
      <c r="H57" s="0" t="n">
        <v>1</v>
      </c>
      <c r="I57" s="0" t="n">
        <v>5506.76</v>
      </c>
      <c r="J57" s="0" t="n">
        <v>3296.76</v>
      </c>
    </row>
    <row r="58" customFormat="false" ht="15" hidden="false" customHeight="false" outlineLevel="0" collapsed="false">
      <c r="A58" s="0" t="s">
        <v>25</v>
      </c>
      <c r="B58" s="0" t="s">
        <v>11</v>
      </c>
      <c r="C58" s="0" t="n">
        <v>6146</v>
      </c>
      <c r="D58" s="0" t="n">
        <v>791</v>
      </c>
      <c r="E58" s="0" t="n">
        <v>273</v>
      </c>
      <c r="F58" s="0" t="n">
        <v>167</v>
      </c>
      <c r="G58" s="0" t="n">
        <v>135</v>
      </c>
      <c r="H58" s="0" t="n">
        <v>52</v>
      </c>
      <c r="I58" s="0" t="n">
        <v>289220.17</v>
      </c>
      <c r="J58" s="0" t="n">
        <v>1689.84</v>
      </c>
    </row>
    <row r="59" customFormat="false" ht="15" hidden="false" customHeight="false" outlineLevel="0" collapsed="false">
      <c r="A59" s="0" t="s">
        <v>25</v>
      </c>
      <c r="B59" s="0" t="s">
        <v>12</v>
      </c>
      <c r="C59" s="0" t="n">
        <v>8136</v>
      </c>
      <c r="D59" s="0" t="n">
        <v>179</v>
      </c>
      <c r="E59" s="0" t="n">
        <v>27</v>
      </c>
      <c r="F59" s="0" t="n">
        <v>11</v>
      </c>
      <c r="G59" s="0" t="n">
        <v>7</v>
      </c>
      <c r="H59" s="0" t="n">
        <v>1</v>
      </c>
      <c r="I59" s="0" t="n">
        <v>5166.74</v>
      </c>
      <c r="J59" s="0" t="n">
        <v>2366.79</v>
      </c>
    </row>
    <row r="60" customFormat="false" ht="15" hidden="false" customHeight="false" outlineLevel="0" collapsed="false">
      <c r="A60" s="0" t="s">
        <v>25</v>
      </c>
      <c r="B60" s="0" t="s">
        <v>13</v>
      </c>
      <c r="C60" s="0" t="n">
        <v>8762</v>
      </c>
      <c r="D60" s="0" t="n">
        <v>284</v>
      </c>
      <c r="E60" s="0" t="n">
        <v>78</v>
      </c>
      <c r="F60" s="0" t="n">
        <v>45</v>
      </c>
      <c r="G60" s="0" t="n">
        <v>34</v>
      </c>
      <c r="H60" s="0" t="n">
        <v>11</v>
      </c>
      <c r="I60" s="0" t="n">
        <v>71256.63</v>
      </c>
      <c r="J60" s="0" t="n">
        <v>4291.8</v>
      </c>
    </row>
    <row r="61" customFormat="false" ht="15" hidden="false" customHeight="false" outlineLevel="0" collapsed="false">
      <c r="A61" s="0" t="s">
        <v>25</v>
      </c>
      <c r="B61" s="0" t="s">
        <v>14</v>
      </c>
      <c r="C61" s="0" t="n">
        <v>17583</v>
      </c>
      <c r="D61" s="0" t="n">
        <v>316</v>
      </c>
      <c r="E61" s="0" t="n">
        <v>49</v>
      </c>
      <c r="F61" s="0" t="n">
        <v>24</v>
      </c>
      <c r="G61" s="0" t="n">
        <v>15</v>
      </c>
      <c r="H61" s="0" t="n">
        <v>4</v>
      </c>
      <c r="I61" s="0" t="n">
        <v>22959.03</v>
      </c>
      <c r="J61" s="0" t="n">
        <v>2238.89</v>
      </c>
    </row>
    <row r="62" customFormat="false" ht="15" hidden="false" customHeight="false" outlineLevel="0" collapsed="false">
      <c r="A62" s="0" t="s">
        <v>25</v>
      </c>
      <c r="B62" s="0" t="s">
        <v>15</v>
      </c>
      <c r="C62" s="0" t="n">
        <v>2172</v>
      </c>
      <c r="D62" s="0" t="n">
        <v>82</v>
      </c>
      <c r="E62" s="0" t="n">
        <v>19</v>
      </c>
      <c r="F62" s="0" t="n">
        <v>14</v>
      </c>
      <c r="G62" s="0" t="n">
        <v>10</v>
      </c>
      <c r="H62" s="0" t="n">
        <v>3</v>
      </c>
      <c r="I62" s="0" t="n">
        <v>37846.47</v>
      </c>
      <c r="J62" s="0" t="n">
        <v>4049.66</v>
      </c>
    </row>
    <row r="63" customFormat="false" ht="15" hidden="false" customHeight="false" outlineLevel="0" collapsed="false">
      <c r="A63" s="0" t="s">
        <v>25</v>
      </c>
      <c r="B63" s="0" t="s">
        <v>16</v>
      </c>
      <c r="C63" s="0" t="n">
        <v>14553</v>
      </c>
      <c r="D63" s="0" t="n">
        <v>1100</v>
      </c>
      <c r="E63" s="0" t="n">
        <v>260</v>
      </c>
      <c r="F63" s="0" t="n">
        <v>146</v>
      </c>
      <c r="G63" s="0" t="n">
        <v>104</v>
      </c>
      <c r="H63" s="0" t="n">
        <v>38</v>
      </c>
      <c r="I63" s="0" t="n">
        <v>268282.15</v>
      </c>
      <c r="J63" s="0" t="n">
        <v>2120.14</v>
      </c>
    </row>
    <row r="64" customFormat="false" ht="15" hidden="false" customHeight="false" outlineLevel="0" collapsed="false">
      <c r="A64" s="0" t="s">
        <v>25</v>
      </c>
      <c r="B64" s="0" t="s">
        <v>17</v>
      </c>
      <c r="C64" s="0" t="n">
        <v>2750</v>
      </c>
      <c r="D64" s="0" t="n">
        <v>296</v>
      </c>
      <c r="E64" s="0" t="n">
        <v>147</v>
      </c>
      <c r="F64" s="0" t="n">
        <v>110</v>
      </c>
      <c r="G64" s="0" t="n">
        <v>93</v>
      </c>
      <c r="H64" s="0" t="n">
        <v>42</v>
      </c>
      <c r="I64" s="0" t="n">
        <v>396538.17</v>
      </c>
      <c r="J64" s="0" t="n">
        <v>479.24</v>
      </c>
    </row>
    <row r="65" customFormat="false" ht="15" hidden="false" customHeight="false" outlineLevel="0" collapsed="false">
      <c r="A65" s="0" t="s">
        <v>25</v>
      </c>
      <c r="B65" s="0" t="s">
        <v>18</v>
      </c>
      <c r="C65" s="0" t="n">
        <v>9793</v>
      </c>
      <c r="D65" s="0" t="n">
        <v>129</v>
      </c>
      <c r="E65" s="0" t="n">
        <v>27</v>
      </c>
      <c r="F65" s="0" t="n">
        <v>12</v>
      </c>
      <c r="G65" s="0" t="n">
        <v>8</v>
      </c>
      <c r="H65" s="0" t="n">
        <v>1</v>
      </c>
      <c r="I65" s="0" t="n">
        <v>4836.49</v>
      </c>
      <c r="J65" s="0" t="n">
        <v>2081.31</v>
      </c>
    </row>
    <row r="66" customFormat="false" ht="15" hidden="false" customHeight="false" outlineLevel="0" collapsed="false">
      <c r="A66" s="0" t="s">
        <v>26</v>
      </c>
      <c r="B66" s="0" t="s">
        <v>11</v>
      </c>
      <c r="C66" s="0" t="n">
        <v>6090</v>
      </c>
      <c r="D66" s="0" t="n">
        <v>639</v>
      </c>
      <c r="E66" s="0" t="n">
        <v>198</v>
      </c>
      <c r="F66" s="0" t="n">
        <v>122</v>
      </c>
      <c r="G66" s="0" t="n">
        <v>97</v>
      </c>
      <c r="H66" s="0" t="n">
        <v>36</v>
      </c>
      <c r="I66" s="0" t="n">
        <v>241357.07</v>
      </c>
      <c r="J66" s="0" t="n">
        <v>2275.15</v>
      </c>
    </row>
    <row r="67" customFormat="false" ht="15" hidden="false" customHeight="false" outlineLevel="0" collapsed="false">
      <c r="A67" s="0" t="s">
        <v>26</v>
      </c>
      <c r="B67" s="0" t="s">
        <v>12</v>
      </c>
      <c r="C67" s="0" t="n">
        <v>15129</v>
      </c>
      <c r="D67" s="0" t="n">
        <v>313</v>
      </c>
      <c r="E67" s="0" t="n">
        <v>77</v>
      </c>
      <c r="F67" s="0" t="n">
        <v>40</v>
      </c>
      <c r="G67" s="0" t="n">
        <v>31</v>
      </c>
      <c r="H67" s="0" t="n">
        <v>7</v>
      </c>
      <c r="I67" s="0" t="n">
        <v>31827.7</v>
      </c>
      <c r="J67" s="0" t="n">
        <v>3412.87</v>
      </c>
    </row>
    <row r="68" customFormat="false" ht="15" hidden="false" customHeight="false" outlineLevel="0" collapsed="false">
      <c r="A68" s="0" t="s">
        <v>26</v>
      </c>
      <c r="B68" s="0" t="s">
        <v>13</v>
      </c>
      <c r="C68" s="0" t="n">
        <v>14327</v>
      </c>
      <c r="D68" s="0" t="n">
        <v>802</v>
      </c>
      <c r="E68" s="0" t="n">
        <v>164</v>
      </c>
      <c r="F68" s="0" t="n">
        <v>82</v>
      </c>
      <c r="G68" s="0" t="n">
        <v>62</v>
      </c>
      <c r="H68" s="0" t="n">
        <v>20</v>
      </c>
      <c r="I68" s="0" t="n">
        <v>109025.01</v>
      </c>
      <c r="J68" s="0" t="n">
        <v>19145.95</v>
      </c>
    </row>
    <row r="69" customFormat="false" ht="15" hidden="false" customHeight="false" outlineLevel="0" collapsed="false">
      <c r="A69" s="0" t="s">
        <v>26</v>
      </c>
      <c r="B69" s="0" t="s">
        <v>14</v>
      </c>
      <c r="C69" s="0" t="n">
        <v>7620</v>
      </c>
      <c r="D69" s="0" t="n">
        <v>196</v>
      </c>
      <c r="E69" s="0" t="n">
        <v>39</v>
      </c>
      <c r="F69" s="0" t="n">
        <v>20</v>
      </c>
      <c r="G69" s="0" t="n">
        <v>15</v>
      </c>
      <c r="H69" s="0" t="n">
        <v>3</v>
      </c>
      <c r="I69" s="0" t="n">
        <v>17068.59</v>
      </c>
      <c r="J69" s="0" t="n">
        <v>2427.05</v>
      </c>
    </row>
    <row r="70" customFormat="false" ht="15" hidden="false" customHeight="false" outlineLevel="0" collapsed="false">
      <c r="A70" s="0" t="s">
        <v>26</v>
      </c>
      <c r="B70" s="0" t="s">
        <v>15</v>
      </c>
      <c r="C70" s="0" t="n">
        <v>5398</v>
      </c>
      <c r="D70" s="0" t="n">
        <v>134</v>
      </c>
      <c r="E70" s="0" t="n">
        <v>30</v>
      </c>
      <c r="F70" s="0" t="n">
        <v>18</v>
      </c>
      <c r="G70" s="0" t="n">
        <v>15</v>
      </c>
      <c r="H70" s="0" t="n">
        <v>5</v>
      </c>
      <c r="I70" s="0" t="n">
        <v>66792.52</v>
      </c>
      <c r="J70" s="0" t="n">
        <v>4632.76</v>
      </c>
    </row>
    <row r="71" customFormat="false" ht="15" hidden="false" customHeight="false" outlineLevel="0" collapsed="false">
      <c r="A71" s="0" t="s">
        <v>26</v>
      </c>
      <c r="B71" s="0" t="s">
        <v>16</v>
      </c>
      <c r="C71" s="0" t="n">
        <v>10967</v>
      </c>
      <c r="D71" s="0" t="n">
        <v>684</v>
      </c>
      <c r="E71" s="0" t="n">
        <v>184</v>
      </c>
      <c r="F71" s="0" t="n">
        <v>99</v>
      </c>
      <c r="G71" s="0" t="n">
        <v>68</v>
      </c>
      <c r="H71" s="0" t="n">
        <v>23</v>
      </c>
      <c r="I71" s="0" t="n">
        <v>180801.36</v>
      </c>
      <c r="J71" s="0" t="n">
        <v>1717.03</v>
      </c>
    </row>
    <row r="72" customFormat="false" ht="15" hidden="false" customHeight="false" outlineLevel="0" collapsed="false">
      <c r="A72" s="0" t="s">
        <v>26</v>
      </c>
      <c r="B72" s="0" t="s">
        <v>17</v>
      </c>
      <c r="C72" s="0" t="n">
        <v>3112</v>
      </c>
      <c r="D72" s="0" t="n">
        <v>377</v>
      </c>
      <c r="E72" s="0" t="n">
        <v>155</v>
      </c>
      <c r="F72" s="0" t="n">
        <v>100</v>
      </c>
      <c r="G72" s="0" t="n">
        <v>81</v>
      </c>
      <c r="H72" s="0" t="n">
        <v>37</v>
      </c>
      <c r="I72" s="0" t="n">
        <v>307559.72</v>
      </c>
      <c r="J72" s="0" t="n">
        <v>672.75</v>
      </c>
    </row>
    <row r="73" customFormat="false" ht="15" hidden="false" customHeight="false" outlineLevel="0" collapsed="false">
      <c r="A73" s="0" t="s">
        <v>26</v>
      </c>
      <c r="B73" s="0" t="s">
        <v>18</v>
      </c>
      <c r="C73" s="0" t="n">
        <v>11329</v>
      </c>
      <c r="D73" s="0" t="n">
        <v>192</v>
      </c>
      <c r="E73" s="0" t="n">
        <v>35</v>
      </c>
      <c r="F73" s="0" t="n">
        <v>16</v>
      </c>
      <c r="G73" s="0" t="n">
        <v>10</v>
      </c>
      <c r="H73" s="0" t="n">
        <v>2</v>
      </c>
      <c r="I73" s="0" t="n">
        <v>11798.08</v>
      </c>
      <c r="J73" s="0" t="n">
        <v>3575.74</v>
      </c>
    </row>
    <row r="74" customFormat="false" ht="15" hidden="false" customHeight="false" outlineLevel="0" collapsed="false">
      <c r="A74" s="0" t="s">
        <v>27</v>
      </c>
      <c r="B74" s="0" t="s">
        <v>11</v>
      </c>
      <c r="C74" s="0" t="n">
        <v>5517</v>
      </c>
      <c r="D74" s="0" t="n">
        <v>707</v>
      </c>
      <c r="E74" s="0" t="n">
        <v>214</v>
      </c>
      <c r="F74" s="0" t="n">
        <v>134</v>
      </c>
      <c r="G74" s="0" t="n">
        <v>108</v>
      </c>
      <c r="H74" s="0" t="n">
        <v>33</v>
      </c>
      <c r="I74" s="0" t="n">
        <v>225777.58</v>
      </c>
      <c r="J74" s="0" t="n">
        <v>3266.86</v>
      </c>
    </row>
    <row r="75" customFormat="false" ht="15" hidden="false" customHeight="false" outlineLevel="0" collapsed="false">
      <c r="A75" s="0" t="s">
        <v>27</v>
      </c>
      <c r="B75" s="0" t="s">
        <v>12</v>
      </c>
      <c r="C75" s="0" t="n">
        <v>15600</v>
      </c>
      <c r="D75" s="0" t="n">
        <v>290</v>
      </c>
      <c r="E75" s="0" t="n">
        <v>45</v>
      </c>
      <c r="F75" s="0" t="n">
        <v>18</v>
      </c>
      <c r="G75" s="0" t="n">
        <v>12</v>
      </c>
      <c r="H75" s="0" t="n">
        <v>2</v>
      </c>
      <c r="I75" s="0" t="n">
        <v>10563.5</v>
      </c>
      <c r="J75" s="0" t="n">
        <v>2601.82</v>
      </c>
    </row>
    <row r="76" customFormat="false" ht="15" hidden="false" customHeight="false" outlineLevel="0" collapsed="false">
      <c r="A76" s="0" t="s">
        <v>27</v>
      </c>
      <c r="B76" s="0" t="s">
        <v>13</v>
      </c>
      <c r="C76" s="0" t="n">
        <v>6470</v>
      </c>
      <c r="D76" s="0" t="n">
        <v>373</v>
      </c>
      <c r="E76" s="0" t="n">
        <v>92</v>
      </c>
      <c r="F76" s="0" t="n">
        <v>49</v>
      </c>
      <c r="G76" s="0" t="n">
        <v>37</v>
      </c>
      <c r="H76" s="0" t="n">
        <v>12</v>
      </c>
      <c r="I76" s="0" t="n">
        <v>71835.06</v>
      </c>
      <c r="J76" s="0" t="n">
        <v>7059.47</v>
      </c>
    </row>
    <row r="77" customFormat="false" ht="15" hidden="false" customHeight="false" outlineLevel="0" collapsed="false">
      <c r="A77" s="0" t="s">
        <v>27</v>
      </c>
      <c r="B77" s="0" t="s">
        <v>14</v>
      </c>
      <c r="C77" s="0" t="n">
        <v>9000</v>
      </c>
      <c r="D77" s="0" t="n">
        <v>157</v>
      </c>
      <c r="E77" s="0" t="n">
        <v>33</v>
      </c>
      <c r="F77" s="0" t="n">
        <v>14</v>
      </c>
      <c r="G77" s="0" t="n">
        <v>10</v>
      </c>
      <c r="H77" s="0" t="n">
        <v>1</v>
      </c>
      <c r="I77" s="0" t="n">
        <v>3881.74</v>
      </c>
      <c r="J77" s="0" t="n">
        <v>1310.33</v>
      </c>
    </row>
    <row r="78" customFormat="false" ht="15" hidden="false" customHeight="false" outlineLevel="0" collapsed="false">
      <c r="A78" s="0" t="s">
        <v>27</v>
      </c>
      <c r="B78" s="0" t="s">
        <v>15</v>
      </c>
      <c r="C78" s="0" t="n">
        <v>2675</v>
      </c>
      <c r="D78" s="0" t="n">
        <v>68</v>
      </c>
      <c r="E78" s="0" t="n">
        <v>13</v>
      </c>
      <c r="F78" s="0" t="n">
        <v>7</v>
      </c>
      <c r="G78" s="0" t="n">
        <v>5</v>
      </c>
      <c r="H78" s="0" t="n">
        <v>1</v>
      </c>
      <c r="I78" s="0" t="n">
        <v>11821.35</v>
      </c>
      <c r="J78" s="0" t="n">
        <v>2320.61</v>
      </c>
    </row>
    <row r="79" customFormat="false" ht="15" hidden="false" customHeight="false" outlineLevel="0" collapsed="false">
      <c r="A79" s="0" t="s">
        <v>27</v>
      </c>
      <c r="B79" s="0" t="s">
        <v>16</v>
      </c>
      <c r="C79" s="0" t="n">
        <v>6549</v>
      </c>
      <c r="D79" s="0" t="n">
        <v>334</v>
      </c>
      <c r="E79" s="0" t="n">
        <v>88</v>
      </c>
      <c r="F79" s="0" t="n">
        <v>50</v>
      </c>
      <c r="G79" s="0" t="n">
        <v>35</v>
      </c>
      <c r="H79" s="0" t="n">
        <v>12</v>
      </c>
      <c r="I79" s="0" t="n">
        <v>89442.83</v>
      </c>
      <c r="J79" s="0" t="n">
        <v>581.48</v>
      </c>
    </row>
    <row r="80" customFormat="false" ht="15" hidden="false" customHeight="false" outlineLevel="0" collapsed="false">
      <c r="A80" s="0" t="s">
        <v>27</v>
      </c>
      <c r="B80" s="0" t="s">
        <v>17</v>
      </c>
      <c r="C80" s="0" t="n">
        <v>2854</v>
      </c>
      <c r="D80" s="0" t="n">
        <v>390</v>
      </c>
      <c r="E80" s="0" t="n">
        <v>174</v>
      </c>
      <c r="F80" s="0" t="n">
        <v>126</v>
      </c>
      <c r="G80" s="0" t="n">
        <v>98</v>
      </c>
      <c r="H80" s="0" t="n">
        <v>41</v>
      </c>
      <c r="I80" s="0" t="n">
        <v>397110.44</v>
      </c>
      <c r="J80" s="0" t="n">
        <v>946.41</v>
      </c>
    </row>
    <row r="81" customFormat="false" ht="15" hidden="false" customHeight="false" outlineLevel="0" collapsed="false">
      <c r="A81" s="0" t="s">
        <v>27</v>
      </c>
      <c r="B81" s="0" t="s">
        <v>18</v>
      </c>
      <c r="C81" s="0" t="n">
        <v>8581</v>
      </c>
      <c r="D81" s="0" t="n">
        <v>177</v>
      </c>
      <c r="E81" s="0" t="n">
        <v>27</v>
      </c>
      <c r="F81" s="0" t="n">
        <v>11</v>
      </c>
      <c r="G81" s="0" t="n">
        <v>7</v>
      </c>
      <c r="H81" s="0" t="n">
        <v>1</v>
      </c>
      <c r="I81" s="0" t="n">
        <v>4754.57</v>
      </c>
      <c r="J81" s="0" t="n">
        <v>2246.56</v>
      </c>
    </row>
    <row r="82" customFormat="false" ht="15" hidden="false" customHeight="false" outlineLevel="0" collapsed="false">
      <c r="A82" s="0" t="s">
        <v>28</v>
      </c>
      <c r="B82" s="0" t="s">
        <v>11</v>
      </c>
      <c r="C82" s="0" t="n">
        <v>2890</v>
      </c>
      <c r="D82" s="0" t="n">
        <v>337</v>
      </c>
      <c r="E82" s="0" t="n">
        <v>114</v>
      </c>
      <c r="F82" s="0" t="n">
        <v>73</v>
      </c>
      <c r="G82" s="0" t="n">
        <v>55</v>
      </c>
      <c r="H82" s="0" t="n">
        <v>18</v>
      </c>
      <c r="I82" s="0" t="n">
        <v>121158.26</v>
      </c>
      <c r="J82" s="0" t="n">
        <v>1654.13</v>
      </c>
    </row>
    <row r="83" customFormat="false" ht="15" hidden="false" customHeight="false" outlineLevel="0" collapsed="false">
      <c r="A83" s="0" t="s">
        <v>28</v>
      </c>
      <c r="B83" s="0" t="s">
        <v>12</v>
      </c>
      <c r="C83" s="0" t="n">
        <v>14849</v>
      </c>
      <c r="D83" s="0" t="n">
        <v>333</v>
      </c>
      <c r="E83" s="0" t="n">
        <v>52</v>
      </c>
      <c r="F83" s="0" t="n">
        <v>24</v>
      </c>
      <c r="G83" s="0" t="n">
        <v>17</v>
      </c>
      <c r="H83" s="0" t="n">
        <v>4</v>
      </c>
      <c r="I83" s="0" t="n">
        <v>17020.64</v>
      </c>
      <c r="J83" s="0" t="n">
        <v>3670.2</v>
      </c>
    </row>
    <row r="84" customFormat="false" ht="15" hidden="false" customHeight="false" outlineLevel="0" collapsed="false">
      <c r="A84" s="0" t="s">
        <v>28</v>
      </c>
      <c r="B84" s="0" t="s">
        <v>13</v>
      </c>
      <c r="C84" s="0" t="n">
        <v>4420</v>
      </c>
      <c r="D84" s="0" t="n">
        <v>175</v>
      </c>
      <c r="E84" s="0" t="n">
        <v>38</v>
      </c>
      <c r="F84" s="0" t="n">
        <v>20</v>
      </c>
      <c r="G84" s="0" t="n">
        <v>14</v>
      </c>
      <c r="H84" s="0" t="n">
        <v>4</v>
      </c>
      <c r="I84" s="0" t="n">
        <v>28149.23</v>
      </c>
      <c r="J84" s="0" t="n">
        <v>3488.79</v>
      </c>
    </row>
    <row r="85" customFormat="false" ht="15" hidden="false" customHeight="false" outlineLevel="0" collapsed="false">
      <c r="A85" s="0" t="s">
        <v>28</v>
      </c>
      <c r="B85" s="0" t="s">
        <v>14</v>
      </c>
      <c r="C85" s="0" t="n">
        <v>8603</v>
      </c>
      <c r="D85" s="0" t="n">
        <v>153</v>
      </c>
      <c r="E85" s="0" t="n">
        <v>28</v>
      </c>
      <c r="F85" s="0" t="n">
        <v>12</v>
      </c>
      <c r="G85" s="0" t="n">
        <v>7</v>
      </c>
      <c r="H85" s="0" t="n">
        <v>1</v>
      </c>
      <c r="I85" s="0" t="n">
        <v>4274.45</v>
      </c>
      <c r="J85" s="0" t="n">
        <v>1719.78</v>
      </c>
    </row>
    <row r="86" customFormat="false" ht="15" hidden="false" customHeight="false" outlineLevel="0" collapsed="false">
      <c r="A86" s="0" t="s">
        <v>28</v>
      </c>
      <c r="B86" s="0" t="s">
        <v>15</v>
      </c>
      <c r="C86" s="0" t="n">
        <v>2046</v>
      </c>
      <c r="D86" s="0" t="n">
        <v>47</v>
      </c>
      <c r="E86" s="0" t="n">
        <v>9</v>
      </c>
      <c r="F86" s="0" t="n">
        <v>5</v>
      </c>
      <c r="G86" s="0" t="n">
        <v>3</v>
      </c>
      <c r="H86" s="0" t="n">
        <v>0</v>
      </c>
      <c r="I86" s="0" t="n">
        <v>0</v>
      </c>
      <c r="J86" s="0" t="n">
        <v>1572.97</v>
      </c>
    </row>
    <row r="87" customFormat="false" ht="15" hidden="false" customHeight="false" outlineLevel="0" collapsed="false">
      <c r="A87" s="0" t="s">
        <v>28</v>
      </c>
      <c r="B87" s="0" t="s">
        <v>16</v>
      </c>
      <c r="C87" s="0" t="n">
        <v>11350</v>
      </c>
      <c r="D87" s="0" t="n">
        <v>571</v>
      </c>
      <c r="E87" s="0" t="n">
        <v>122</v>
      </c>
      <c r="F87" s="0" t="n">
        <v>69</v>
      </c>
      <c r="G87" s="0" t="n">
        <v>54</v>
      </c>
      <c r="H87" s="0" t="n">
        <v>21</v>
      </c>
      <c r="I87" s="0" t="n">
        <v>143638.68</v>
      </c>
      <c r="J87" s="0" t="n">
        <v>1223.78</v>
      </c>
    </row>
    <row r="88" customFormat="false" ht="15" hidden="false" customHeight="false" outlineLevel="0" collapsed="false">
      <c r="A88" s="0" t="s">
        <v>28</v>
      </c>
      <c r="B88" s="0" t="s">
        <v>17</v>
      </c>
      <c r="C88" s="0" t="n">
        <v>2812</v>
      </c>
      <c r="D88" s="0" t="n">
        <v>333</v>
      </c>
      <c r="E88" s="0" t="n">
        <v>143</v>
      </c>
      <c r="F88" s="0" t="n">
        <v>99</v>
      </c>
      <c r="G88" s="0" t="n">
        <v>82</v>
      </c>
      <c r="H88" s="0" t="n">
        <v>34</v>
      </c>
      <c r="I88" s="0" t="n">
        <v>300283.24</v>
      </c>
      <c r="J88" s="0" t="n">
        <v>409.48</v>
      </c>
    </row>
    <row r="89" customFormat="false" ht="15" hidden="false" customHeight="false" outlineLevel="0" collapsed="false">
      <c r="A89" s="0" t="s">
        <v>28</v>
      </c>
      <c r="B89" s="0" t="s">
        <v>18</v>
      </c>
      <c r="C89" s="0" t="n">
        <v>5967</v>
      </c>
      <c r="D89" s="0" t="n">
        <v>129</v>
      </c>
      <c r="E89" s="0" t="n">
        <v>20</v>
      </c>
      <c r="F89" s="0" t="n">
        <v>8</v>
      </c>
      <c r="G89" s="0" t="n">
        <v>5</v>
      </c>
      <c r="H89" s="0" t="n">
        <v>0</v>
      </c>
      <c r="I89" s="0" t="n">
        <v>0</v>
      </c>
      <c r="J89" s="0" t="n">
        <v>1724.22</v>
      </c>
    </row>
    <row r="90" customFormat="false" ht="15" hidden="false" customHeight="false" outlineLevel="0" collapsed="false">
      <c r="A90" s="0" t="s">
        <v>29</v>
      </c>
      <c r="B90" s="0" t="s">
        <v>11</v>
      </c>
      <c r="C90" s="0" t="n">
        <v>4217</v>
      </c>
      <c r="D90" s="0" t="n">
        <v>578</v>
      </c>
      <c r="E90" s="0" t="n">
        <v>198</v>
      </c>
      <c r="F90" s="0" t="n">
        <v>116</v>
      </c>
      <c r="G90" s="0" t="n">
        <v>92</v>
      </c>
      <c r="H90" s="0" t="n">
        <v>30</v>
      </c>
      <c r="I90" s="0" t="n">
        <v>180163.22</v>
      </c>
      <c r="J90" s="0" t="n">
        <v>2452.35</v>
      </c>
    </row>
    <row r="91" customFormat="false" ht="15" hidden="false" customHeight="false" outlineLevel="0" collapsed="false">
      <c r="A91" s="0" t="s">
        <v>29</v>
      </c>
      <c r="B91" s="0" t="s">
        <v>12</v>
      </c>
      <c r="C91" s="0" t="n">
        <v>11610</v>
      </c>
      <c r="D91" s="0" t="n">
        <v>245</v>
      </c>
      <c r="E91" s="0" t="n">
        <v>45</v>
      </c>
      <c r="F91" s="0" t="n">
        <v>24</v>
      </c>
      <c r="G91" s="0" t="n">
        <v>18</v>
      </c>
      <c r="H91" s="0" t="n">
        <v>5</v>
      </c>
      <c r="I91" s="0" t="n">
        <v>27308.67</v>
      </c>
      <c r="J91" s="0" t="n">
        <v>2173.17</v>
      </c>
    </row>
    <row r="92" customFormat="false" ht="15" hidden="false" customHeight="false" outlineLevel="0" collapsed="false">
      <c r="A92" s="0" t="s">
        <v>29</v>
      </c>
      <c r="B92" s="0" t="s">
        <v>13</v>
      </c>
      <c r="C92" s="0" t="n">
        <v>4788</v>
      </c>
      <c r="D92" s="0" t="n">
        <v>285</v>
      </c>
      <c r="E92" s="0" t="n">
        <v>66</v>
      </c>
      <c r="F92" s="0" t="n">
        <v>41</v>
      </c>
      <c r="G92" s="0" t="n">
        <v>30</v>
      </c>
      <c r="H92" s="0" t="n">
        <v>9</v>
      </c>
      <c r="I92" s="0" t="n">
        <v>61082.25</v>
      </c>
      <c r="J92" s="0" t="n">
        <v>6156.65</v>
      </c>
    </row>
    <row r="93" customFormat="false" ht="15" hidden="false" customHeight="false" outlineLevel="0" collapsed="false">
      <c r="A93" s="0" t="s">
        <v>29</v>
      </c>
      <c r="B93" s="0" t="s">
        <v>14</v>
      </c>
      <c r="C93" s="0" t="n">
        <v>14723</v>
      </c>
      <c r="D93" s="0" t="n">
        <v>219</v>
      </c>
      <c r="E93" s="0" t="n">
        <v>29</v>
      </c>
      <c r="F93" s="0" t="n">
        <v>14</v>
      </c>
      <c r="G93" s="0" t="n">
        <v>9</v>
      </c>
      <c r="H93" s="0" t="n">
        <v>2</v>
      </c>
      <c r="I93" s="0" t="n">
        <v>10781.07</v>
      </c>
      <c r="J93" s="0" t="n">
        <v>1747.27</v>
      </c>
    </row>
    <row r="94" customFormat="false" ht="15" hidden="false" customHeight="false" outlineLevel="0" collapsed="false">
      <c r="A94" s="0" t="s">
        <v>29</v>
      </c>
      <c r="B94" s="0" t="s">
        <v>15</v>
      </c>
      <c r="C94" s="0" t="n">
        <v>2385</v>
      </c>
      <c r="D94" s="0" t="n">
        <v>55</v>
      </c>
      <c r="E94" s="0" t="n">
        <v>10</v>
      </c>
      <c r="F94" s="0" t="n">
        <v>7</v>
      </c>
      <c r="G94" s="0" t="n">
        <v>5</v>
      </c>
      <c r="H94" s="0" t="n">
        <v>1</v>
      </c>
      <c r="I94" s="0" t="n">
        <v>14386</v>
      </c>
      <c r="J94" s="0" t="n">
        <v>2044.71</v>
      </c>
    </row>
    <row r="95" customFormat="false" ht="15" hidden="false" customHeight="false" outlineLevel="0" collapsed="false">
      <c r="A95" s="0" t="s">
        <v>29</v>
      </c>
      <c r="B95" s="0" t="s">
        <v>16</v>
      </c>
      <c r="C95" s="0" t="n">
        <v>6876</v>
      </c>
      <c r="D95" s="0" t="n">
        <v>522</v>
      </c>
      <c r="E95" s="0" t="n">
        <v>120</v>
      </c>
      <c r="F95" s="0" t="n">
        <v>66</v>
      </c>
      <c r="G95" s="0" t="n">
        <v>52</v>
      </c>
      <c r="H95" s="0" t="n">
        <v>21</v>
      </c>
      <c r="I95" s="0" t="n">
        <v>185209.42</v>
      </c>
      <c r="J95" s="0" t="n">
        <v>644.04</v>
      </c>
    </row>
    <row r="96" customFormat="false" ht="15" hidden="false" customHeight="false" outlineLevel="0" collapsed="false">
      <c r="A96" s="0" t="s">
        <v>29</v>
      </c>
      <c r="B96" s="0" t="s">
        <v>17</v>
      </c>
      <c r="C96" s="0" t="n">
        <v>2450</v>
      </c>
      <c r="D96" s="0" t="n">
        <v>327</v>
      </c>
      <c r="E96" s="0" t="n">
        <v>135</v>
      </c>
      <c r="F96" s="0" t="n">
        <v>98</v>
      </c>
      <c r="G96" s="0" t="n">
        <v>82</v>
      </c>
      <c r="H96" s="0" t="n">
        <v>37</v>
      </c>
      <c r="I96" s="0" t="n">
        <v>346534.29</v>
      </c>
      <c r="J96" s="0" t="n">
        <v>911.61</v>
      </c>
    </row>
    <row r="97" customFormat="false" ht="15" hidden="false" customHeight="false" outlineLevel="0" collapsed="false">
      <c r="A97" s="0" t="s">
        <v>29</v>
      </c>
      <c r="B97" s="0" t="s">
        <v>18</v>
      </c>
      <c r="C97" s="0" t="n">
        <v>5152</v>
      </c>
      <c r="D97" s="0" t="n">
        <v>83</v>
      </c>
      <c r="E97" s="0" t="n">
        <v>13</v>
      </c>
      <c r="F97" s="0" t="n">
        <v>6</v>
      </c>
      <c r="G97" s="0" t="n">
        <v>3</v>
      </c>
      <c r="H97" s="0" t="n">
        <v>0</v>
      </c>
      <c r="I97" s="0" t="n">
        <v>0</v>
      </c>
      <c r="J97" s="0" t="n">
        <v>1462.84</v>
      </c>
    </row>
    <row r="98" customFormat="false" ht="15" hidden="false" customHeight="false" outlineLevel="0" collapsed="false">
      <c r="A98" s="0" t="s">
        <v>30</v>
      </c>
      <c r="B98" s="0" t="s">
        <v>11</v>
      </c>
      <c r="C98" s="0" t="n">
        <v>6536</v>
      </c>
      <c r="D98" s="0" t="n">
        <v>592</v>
      </c>
      <c r="E98" s="0" t="n">
        <v>211</v>
      </c>
      <c r="F98" s="0" t="n">
        <v>128</v>
      </c>
      <c r="G98" s="0" t="n">
        <v>101</v>
      </c>
      <c r="H98" s="0" t="n">
        <v>37</v>
      </c>
      <c r="I98" s="0" t="n">
        <v>253492.07</v>
      </c>
      <c r="J98" s="0" t="n">
        <v>2843.44</v>
      </c>
    </row>
    <row r="99" customFormat="false" ht="15" hidden="false" customHeight="false" outlineLevel="0" collapsed="false">
      <c r="A99" s="0" t="s">
        <v>30</v>
      </c>
      <c r="B99" s="0" t="s">
        <v>12</v>
      </c>
      <c r="C99" s="0" t="n">
        <v>10751</v>
      </c>
      <c r="D99" s="0" t="n">
        <v>277</v>
      </c>
      <c r="E99" s="0" t="n">
        <v>61</v>
      </c>
      <c r="F99" s="0" t="n">
        <v>30</v>
      </c>
      <c r="G99" s="0" t="n">
        <v>22</v>
      </c>
      <c r="H99" s="0" t="n">
        <v>5</v>
      </c>
      <c r="I99" s="0" t="n">
        <v>23456.96</v>
      </c>
      <c r="J99" s="0" t="n">
        <v>2704.24</v>
      </c>
    </row>
    <row r="100" customFormat="false" ht="15" hidden="false" customHeight="false" outlineLevel="0" collapsed="false">
      <c r="A100" s="0" t="s">
        <v>30</v>
      </c>
      <c r="B100" s="0" t="s">
        <v>13</v>
      </c>
      <c r="C100" s="0" t="n">
        <v>8420</v>
      </c>
      <c r="D100" s="0" t="n">
        <v>460</v>
      </c>
      <c r="E100" s="0" t="n">
        <v>97</v>
      </c>
      <c r="F100" s="0" t="n">
        <v>60</v>
      </c>
      <c r="G100" s="0" t="n">
        <v>43</v>
      </c>
      <c r="H100" s="0" t="n">
        <v>12</v>
      </c>
      <c r="I100" s="0" t="n">
        <v>65397.03</v>
      </c>
      <c r="J100" s="0" t="n">
        <v>10107.56</v>
      </c>
    </row>
    <row r="101" customFormat="false" ht="15" hidden="false" customHeight="false" outlineLevel="0" collapsed="false">
      <c r="A101" s="0" t="s">
        <v>30</v>
      </c>
      <c r="B101" s="0" t="s">
        <v>14</v>
      </c>
      <c r="C101" s="0" t="n">
        <v>8997</v>
      </c>
      <c r="D101" s="0" t="n">
        <v>238</v>
      </c>
      <c r="E101" s="0" t="n">
        <v>43</v>
      </c>
      <c r="F101" s="0" t="n">
        <v>18</v>
      </c>
      <c r="G101" s="0" t="n">
        <v>12</v>
      </c>
      <c r="H101" s="0" t="n">
        <v>3</v>
      </c>
      <c r="I101" s="0" t="n">
        <v>14917.38</v>
      </c>
      <c r="J101" s="0" t="n">
        <v>1921.48</v>
      </c>
    </row>
    <row r="102" customFormat="false" ht="15" hidden="false" customHeight="false" outlineLevel="0" collapsed="false">
      <c r="A102" s="0" t="s">
        <v>30</v>
      </c>
      <c r="B102" s="0" t="s">
        <v>15</v>
      </c>
      <c r="C102" s="0" t="n">
        <v>4023</v>
      </c>
      <c r="D102" s="0" t="n">
        <v>129</v>
      </c>
      <c r="E102" s="0" t="n">
        <v>23</v>
      </c>
      <c r="F102" s="0" t="n">
        <v>16</v>
      </c>
      <c r="G102" s="0" t="n">
        <v>13</v>
      </c>
      <c r="H102" s="0" t="n">
        <v>4</v>
      </c>
      <c r="I102" s="0" t="n">
        <v>58449.99</v>
      </c>
      <c r="J102" s="0" t="n">
        <v>5667.36</v>
      </c>
    </row>
    <row r="103" customFormat="false" ht="15" hidden="false" customHeight="false" outlineLevel="0" collapsed="false">
      <c r="A103" s="0" t="s">
        <v>30</v>
      </c>
      <c r="B103" s="0" t="s">
        <v>16</v>
      </c>
      <c r="C103" s="0" t="n">
        <v>10057</v>
      </c>
      <c r="D103" s="0" t="n">
        <v>447</v>
      </c>
      <c r="E103" s="0" t="n">
        <v>124</v>
      </c>
      <c r="F103" s="0" t="n">
        <v>72</v>
      </c>
      <c r="G103" s="0" t="n">
        <v>50</v>
      </c>
      <c r="H103" s="0" t="n">
        <v>22</v>
      </c>
      <c r="I103" s="0" t="n">
        <v>166243.31</v>
      </c>
      <c r="J103" s="0" t="n">
        <v>1224.69</v>
      </c>
    </row>
    <row r="104" customFormat="false" ht="15" hidden="false" customHeight="false" outlineLevel="0" collapsed="false">
      <c r="A104" s="0" t="s">
        <v>30</v>
      </c>
      <c r="B104" s="0" t="s">
        <v>17</v>
      </c>
      <c r="C104" s="0" t="n">
        <v>2773</v>
      </c>
      <c r="D104" s="0" t="n">
        <v>387</v>
      </c>
      <c r="E104" s="0" t="n">
        <v>156</v>
      </c>
      <c r="F104" s="0" t="n">
        <v>106</v>
      </c>
      <c r="G104" s="0" t="n">
        <v>91</v>
      </c>
      <c r="H104" s="0" t="n">
        <v>36</v>
      </c>
      <c r="I104" s="0" t="n">
        <v>295002.22</v>
      </c>
      <c r="J104" s="0" t="n">
        <v>645.13</v>
      </c>
    </row>
    <row r="105" customFormat="false" ht="15" hidden="false" customHeight="false" outlineLevel="0" collapsed="false">
      <c r="A105" s="0" t="s">
        <v>30</v>
      </c>
      <c r="B105" s="0" t="s">
        <v>18</v>
      </c>
      <c r="C105" s="0" t="n">
        <v>8761</v>
      </c>
      <c r="D105" s="0" t="n">
        <v>248</v>
      </c>
      <c r="E105" s="0" t="n">
        <v>43</v>
      </c>
      <c r="F105" s="0" t="n">
        <v>17</v>
      </c>
      <c r="G105" s="0" t="n">
        <v>12</v>
      </c>
      <c r="H105" s="0" t="n">
        <v>2</v>
      </c>
      <c r="I105" s="0" t="n">
        <v>9809.76</v>
      </c>
      <c r="J105" s="0" t="n">
        <v>3037.02</v>
      </c>
    </row>
    <row r="106" customFormat="false" ht="15" hidden="false" customHeight="false" outlineLevel="0" collapsed="false">
      <c r="A106" s="0" t="s">
        <v>31</v>
      </c>
      <c r="B106" s="0" t="s">
        <v>11</v>
      </c>
      <c r="C106" s="0" t="n">
        <v>5003</v>
      </c>
      <c r="D106" s="0" t="n">
        <v>596</v>
      </c>
      <c r="E106" s="0" t="n">
        <v>188</v>
      </c>
      <c r="F106" s="0" t="n">
        <v>106</v>
      </c>
      <c r="G106" s="0" t="n">
        <v>88</v>
      </c>
      <c r="H106" s="0" t="n">
        <v>34</v>
      </c>
      <c r="I106" s="0" t="n">
        <v>188410.64</v>
      </c>
      <c r="J106" s="0" t="n">
        <v>1859.48</v>
      </c>
    </row>
    <row r="107" customFormat="false" ht="15" hidden="false" customHeight="false" outlineLevel="0" collapsed="false">
      <c r="A107" s="0" t="s">
        <v>31</v>
      </c>
      <c r="B107" s="0" t="s">
        <v>12</v>
      </c>
      <c r="C107" s="0" t="n">
        <v>8157</v>
      </c>
      <c r="D107" s="0" t="n">
        <v>203</v>
      </c>
      <c r="E107" s="0" t="n">
        <v>34</v>
      </c>
      <c r="F107" s="0" t="n">
        <v>18</v>
      </c>
      <c r="G107" s="0" t="n">
        <v>12</v>
      </c>
      <c r="H107" s="0" t="n">
        <v>2</v>
      </c>
      <c r="I107" s="0" t="n">
        <v>11987.5</v>
      </c>
      <c r="J107" s="0" t="n">
        <v>1745.28</v>
      </c>
    </row>
    <row r="108" customFormat="false" ht="15" hidden="false" customHeight="false" outlineLevel="0" collapsed="false">
      <c r="A108" s="0" t="s">
        <v>31</v>
      </c>
      <c r="B108" s="0" t="s">
        <v>13</v>
      </c>
      <c r="C108" s="0" t="n">
        <v>6408</v>
      </c>
      <c r="D108" s="0" t="n">
        <v>226</v>
      </c>
      <c r="E108" s="0" t="n">
        <v>56</v>
      </c>
      <c r="F108" s="0" t="n">
        <v>31</v>
      </c>
      <c r="G108" s="0" t="n">
        <v>25</v>
      </c>
      <c r="H108" s="0" t="n">
        <v>7</v>
      </c>
      <c r="I108" s="0" t="n">
        <v>48277.55</v>
      </c>
      <c r="J108" s="0" t="n">
        <v>4476.13</v>
      </c>
    </row>
    <row r="109" customFormat="false" ht="15" hidden="false" customHeight="false" outlineLevel="0" collapsed="false">
      <c r="A109" s="0" t="s">
        <v>31</v>
      </c>
      <c r="B109" s="0" t="s">
        <v>14</v>
      </c>
      <c r="C109" s="0" t="n">
        <v>12524</v>
      </c>
      <c r="D109" s="0" t="n">
        <v>269</v>
      </c>
      <c r="E109" s="0" t="n">
        <v>36</v>
      </c>
      <c r="F109" s="0" t="n">
        <v>17</v>
      </c>
      <c r="G109" s="0" t="n">
        <v>10</v>
      </c>
      <c r="H109" s="0" t="n">
        <v>2</v>
      </c>
      <c r="I109" s="0" t="n">
        <v>8362.75</v>
      </c>
      <c r="J109" s="0" t="n">
        <v>2269.28</v>
      </c>
    </row>
    <row r="110" customFormat="false" ht="15" hidden="false" customHeight="false" outlineLevel="0" collapsed="false">
      <c r="A110" s="0" t="s">
        <v>31</v>
      </c>
      <c r="B110" s="0" t="s">
        <v>15</v>
      </c>
      <c r="C110" s="0" t="n">
        <v>2146</v>
      </c>
      <c r="D110" s="0" t="n">
        <v>63</v>
      </c>
      <c r="E110" s="0" t="n">
        <v>14</v>
      </c>
      <c r="F110" s="0" t="n">
        <v>8</v>
      </c>
      <c r="G110" s="0" t="n">
        <v>6</v>
      </c>
      <c r="H110" s="0" t="n">
        <v>2</v>
      </c>
      <c r="I110" s="0" t="n">
        <v>24407.63</v>
      </c>
      <c r="J110" s="0" t="n">
        <v>2550.73</v>
      </c>
    </row>
    <row r="111" customFormat="false" ht="15" hidden="false" customHeight="false" outlineLevel="0" collapsed="false">
      <c r="A111" s="0" t="s">
        <v>31</v>
      </c>
      <c r="B111" s="0" t="s">
        <v>16</v>
      </c>
      <c r="C111" s="0" t="n">
        <v>11795</v>
      </c>
      <c r="D111" s="0" t="n">
        <v>664</v>
      </c>
      <c r="E111" s="0" t="n">
        <v>134</v>
      </c>
      <c r="F111" s="0" t="n">
        <v>69</v>
      </c>
      <c r="G111" s="0" t="n">
        <v>52</v>
      </c>
      <c r="H111" s="0" t="n">
        <v>21</v>
      </c>
      <c r="I111" s="0" t="n">
        <v>139984.25</v>
      </c>
      <c r="J111" s="0" t="n">
        <v>699.98</v>
      </c>
    </row>
    <row r="112" customFormat="false" ht="15" hidden="false" customHeight="false" outlineLevel="0" collapsed="false">
      <c r="A112" s="0" t="s">
        <v>31</v>
      </c>
      <c r="B112" s="0" t="s">
        <v>17</v>
      </c>
      <c r="C112" s="0" t="n">
        <v>1693</v>
      </c>
      <c r="D112" s="0" t="n">
        <v>283</v>
      </c>
      <c r="E112" s="0" t="n">
        <v>113</v>
      </c>
      <c r="F112" s="0" t="n">
        <v>74</v>
      </c>
      <c r="G112" s="0" t="n">
        <v>63</v>
      </c>
      <c r="H112" s="0" t="n">
        <v>26</v>
      </c>
      <c r="I112" s="0" t="n">
        <v>200578.26</v>
      </c>
      <c r="J112" s="0" t="n">
        <v>652.45</v>
      </c>
    </row>
    <row r="113" customFormat="false" ht="15" hidden="false" customHeight="false" outlineLevel="0" collapsed="false">
      <c r="A113" s="0" t="s">
        <v>31</v>
      </c>
      <c r="B113" s="0" t="s">
        <v>18</v>
      </c>
      <c r="C113" s="0" t="n">
        <v>5696</v>
      </c>
      <c r="D113" s="0" t="n">
        <v>84</v>
      </c>
      <c r="E113" s="0" t="n">
        <v>16</v>
      </c>
      <c r="F113" s="0" t="n">
        <v>7</v>
      </c>
      <c r="G113" s="0" t="n">
        <v>5</v>
      </c>
      <c r="H113" s="0" t="n">
        <v>0</v>
      </c>
      <c r="I113" s="0" t="n">
        <v>0</v>
      </c>
      <c r="J113" s="0" t="n">
        <v>1401.19</v>
      </c>
    </row>
    <row r="114" customFormat="false" ht="15" hidden="false" customHeight="false" outlineLevel="0" collapsed="false">
      <c r="A114" s="0" t="s">
        <v>32</v>
      </c>
      <c r="B114" s="0" t="s">
        <v>11</v>
      </c>
      <c r="C114" s="0" t="n">
        <v>6167</v>
      </c>
      <c r="D114" s="0" t="n">
        <v>604</v>
      </c>
      <c r="E114" s="0" t="n">
        <v>189</v>
      </c>
      <c r="F114" s="0" t="n">
        <v>119</v>
      </c>
      <c r="G114" s="0" t="n">
        <v>100</v>
      </c>
      <c r="H114" s="0" t="n">
        <v>35</v>
      </c>
      <c r="I114" s="0" t="n">
        <v>194061.51</v>
      </c>
      <c r="J114" s="0" t="n">
        <v>1519.08</v>
      </c>
    </row>
    <row r="115" customFormat="false" ht="15" hidden="false" customHeight="false" outlineLevel="0" collapsed="false">
      <c r="A115" s="0" t="s">
        <v>32</v>
      </c>
      <c r="B115" s="0" t="s">
        <v>12</v>
      </c>
      <c r="C115" s="0" t="n">
        <v>13057</v>
      </c>
      <c r="D115" s="0" t="n">
        <v>370</v>
      </c>
      <c r="E115" s="0" t="n">
        <v>85</v>
      </c>
      <c r="F115" s="0" t="n">
        <v>38</v>
      </c>
      <c r="G115" s="0" t="n">
        <v>26</v>
      </c>
      <c r="H115" s="0" t="n">
        <v>6</v>
      </c>
      <c r="I115" s="0" t="n">
        <v>27216.76</v>
      </c>
      <c r="J115" s="0" t="n">
        <v>4488.86</v>
      </c>
    </row>
    <row r="116" customFormat="false" ht="15" hidden="false" customHeight="false" outlineLevel="0" collapsed="false">
      <c r="A116" s="0" t="s">
        <v>32</v>
      </c>
      <c r="B116" s="0" t="s">
        <v>13</v>
      </c>
      <c r="C116" s="0" t="n">
        <v>7931</v>
      </c>
      <c r="D116" s="0" t="n">
        <v>451</v>
      </c>
      <c r="E116" s="0" t="n">
        <v>90</v>
      </c>
      <c r="F116" s="0" t="n">
        <v>46</v>
      </c>
      <c r="G116" s="0" t="n">
        <v>33</v>
      </c>
      <c r="H116" s="0" t="n">
        <v>8</v>
      </c>
      <c r="I116" s="0" t="n">
        <v>53993</v>
      </c>
      <c r="J116" s="0" t="n">
        <v>7132.27</v>
      </c>
    </row>
    <row r="117" customFormat="false" ht="15" hidden="false" customHeight="false" outlineLevel="0" collapsed="false">
      <c r="A117" s="0" t="s">
        <v>32</v>
      </c>
      <c r="B117" s="0" t="s">
        <v>14</v>
      </c>
      <c r="C117" s="0" t="n">
        <v>13865</v>
      </c>
      <c r="D117" s="0" t="n">
        <v>257</v>
      </c>
      <c r="E117" s="0" t="n">
        <v>46</v>
      </c>
      <c r="F117" s="0" t="n">
        <v>20</v>
      </c>
      <c r="G117" s="0" t="n">
        <v>13</v>
      </c>
      <c r="H117" s="0" t="n">
        <v>3</v>
      </c>
      <c r="I117" s="0" t="n">
        <v>12240.68</v>
      </c>
      <c r="J117" s="0" t="n">
        <v>3172.73</v>
      </c>
    </row>
    <row r="118" customFormat="false" ht="15" hidden="false" customHeight="false" outlineLevel="0" collapsed="false">
      <c r="A118" s="0" t="s">
        <v>32</v>
      </c>
      <c r="B118" s="0" t="s">
        <v>15</v>
      </c>
      <c r="C118" s="0" t="n">
        <v>5473</v>
      </c>
      <c r="D118" s="0" t="n">
        <v>162</v>
      </c>
      <c r="E118" s="0" t="n">
        <v>43</v>
      </c>
      <c r="F118" s="0" t="n">
        <v>30</v>
      </c>
      <c r="G118" s="0" t="n">
        <v>23</v>
      </c>
      <c r="H118" s="0" t="n">
        <v>6</v>
      </c>
      <c r="I118" s="0" t="n">
        <v>76249.03</v>
      </c>
      <c r="J118" s="0" t="n">
        <v>5730.51</v>
      </c>
    </row>
    <row r="119" customFormat="false" ht="15" hidden="false" customHeight="false" outlineLevel="0" collapsed="false">
      <c r="A119" s="0" t="s">
        <v>32</v>
      </c>
      <c r="B119" s="0" t="s">
        <v>16</v>
      </c>
      <c r="C119" s="0" t="n">
        <v>6165</v>
      </c>
      <c r="D119" s="0" t="n">
        <v>472</v>
      </c>
      <c r="E119" s="0" t="n">
        <v>98</v>
      </c>
      <c r="F119" s="0" t="n">
        <v>54</v>
      </c>
      <c r="G119" s="0" t="n">
        <v>38</v>
      </c>
      <c r="H119" s="0" t="n">
        <v>15</v>
      </c>
      <c r="I119" s="0" t="n">
        <v>127338.38</v>
      </c>
      <c r="J119" s="0" t="n">
        <v>1086.94</v>
      </c>
    </row>
    <row r="120" customFormat="false" ht="15" hidden="false" customHeight="false" outlineLevel="0" collapsed="false">
      <c r="A120" s="0" t="s">
        <v>32</v>
      </c>
      <c r="B120" s="0" t="s">
        <v>17</v>
      </c>
      <c r="C120" s="0" t="n">
        <v>1619</v>
      </c>
      <c r="D120" s="0" t="n">
        <v>163</v>
      </c>
      <c r="E120" s="0" t="n">
        <v>67</v>
      </c>
      <c r="F120" s="0" t="n">
        <v>49</v>
      </c>
      <c r="G120" s="0" t="n">
        <v>42</v>
      </c>
      <c r="H120" s="0" t="n">
        <v>19</v>
      </c>
      <c r="I120" s="0" t="n">
        <v>170907.09</v>
      </c>
      <c r="J120" s="0" t="n">
        <v>358.77</v>
      </c>
    </row>
    <row r="121" customFormat="false" ht="15" hidden="false" customHeight="false" outlineLevel="0" collapsed="false">
      <c r="A121" s="0" t="s">
        <v>32</v>
      </c>
      <c r="B121" s="0" t="s">
        <v>18</v>
      </c>
      <c r="C121" s="0" t="n">
        <v>6227</v>
      </c>
      <c r="D121" s="0" t="n">
        <v>176</v>
      </c>
      <c r="E121" s="0" t="n">
        <v>31</v>
      </c>
      <c r="F121" s="0" t="n">
        <v>12</v>
      </c>
      <c r="G121" s="0" t="n">
        <v>8</v>
      </c>
      <c r="H121" s="0" t="n">
        <v>1</v>
      </c>
      <c r="I121" s="0" t="n">
        <v>5476.07</v>
      </c>
      <c r="J121" s="0" t="n">
        <v>2052.66</v>
      </c>
    </row>
    <row r="122" customFormat="false" ht="15" hidden="false" customHeight="false" outlineLevel="0" collapsed="false">
      <c r="A122" s="0" t="s">
        <v>33</v>
      </c>
      <c r="B122" s="0" t="s">
        <v>11</v>
      </c>
      <c r="C122" s="0" t="n">
        <v>4360</v>
      </c>
      <c r="D122" s="0" t="n">
        <v>528</v>
      </c>
      <c r="E122" s="0" t="n">
        <v>177</v>
      </c>
      <c r="F122" s="0" t="n">
        <v>98</v>
      </c>
      <c r="G122" s="0" t="n">
        <v>82</v>
      </c>
      <c r="H122" s="0" t="n">
        <v>25</v>
      </c>
      <c r="I122" s="0" t="n">
        <v>147300.29</v>
      </c>
      <c r="J122" s="0" t="n">
        <v>2561.18</v>
      </c>
    </row>
    <row r="123" customFormat="false" ht="15" hidden="false" customHeight="false" outlineLevel="0" collapsed="false">
      <c r="A123" s="0" t="s">
        <v>33</v>
      </c>
      <c r="B123" s="0" t="s">
        <v>12</v>
      </c>
      <c r="C123" s="0" t="n">
        <v>14796</v>
      </c>
      <c r="D123" s="0" t="n">
        <v>327</v>
      </c>
      <c r="E123" s="0" t="n">
        <v>70</v>
      </c>
      <c r="F123" s="0" t="n">
        <v>37</v>
      </c>
      <c r="G123" s="0" t="n">
        <v>28</v>
      </c>
      <c r="H123" s="0" t="n">
        <v>6</v>
      </c>
      <c r="I123" s="0" t="n">
        <v>27147.17</v>
      </c>
      <c r="J123" s="0" t="n">
        <v>2687.38</v>
      </c>
    </row>
    <row r="124" customFormat="false" ht="15" hidden="false" customHeight="false" outlineLevel="0" collapsed="false">
      <c r="A124" s="0" t="s">
        <v>33</v>
      </c>
      <c r="B124" s="0" t="s">
        <v>13</v>
      </c>
      <c r="C124" s="0" t="n">
        <v>5827</v>
      </c>
      <c r="D124" s="0" t="n">
        <v>280</v>
      </c>
      <c r="E124" s="0" t="n">
        <v>62</v>
      </c>
      <c r="F124" s="0" t="n">
        <v>34</v>
      </c>
      <c r="G124" s="0" t="n">
        <v>25</v>
      </c>
      <c r="H124" s="0" t="n">
        <v>7</v>
      </c>
      <c r="I124" s="0" t="n">
        <v>41239.56</v>
      </c>
      <c r="J124" s="0" t="n">
        <v>5933.33</v>
      </c>
    </row>
    <row r="125" customFormat="false" ht="15" hidden="false" customHeight="false" outlineLevel="0" collapsed="false">
      <c r="A125" s="0" t="s">
        <v>33</v>
      </c>
      <c r="B125" s="0" t="s">
        <v>14</v>
      </c>
      <c r="C125" s="0" t="n">
        <v>13545</v>
      </c>
      <c r="D125" s="0" t="n">
        <v>173</v>
      </c>
      <c r="E125" s="0" t="n">
        <v>30</v>
      </c>
      <c r="F125" s="0" t="n">
        <v>13</v>
      </c>
      <c r="G125" s="0" t="n">
        <v>8</v>
      </c>
      <c r="H125" s="0" t="n">
        <v>2</v>
      </c>
      <c r="I125" s="0" t="n">
        <v>7900.55</v>
      </c>
      <c r="J125" s="0" t="n">
        <v>1340.09</v>
      </c>
    </row>
    <row r="126" customFormat="false" ht="15" hidden="false" customHeight="false" outlineLevel="0" collapsed="false">
      <c r="A126" s="0" t="s">
        <v>33</v>
      </c>
      <c r="B126" s="0" t="s">
        <v>15</v>
      </c>
      <c r="C126" s="0" t="n">
        <v>4912</v>
      </c>
      <c r="D126" s="0" t="n">
        <v>146</v>
      </c>
      <c r="E126" s="0" t="n">
        <v>36</v>
      </c>
      <c r="F126" s="0" t="n">
        <v>23</v>
      </c>
      <c r="G126" s="0" t="n">
        <v>17</v>
      </c>
      <c r="H126" s="0" t="n">
        <v>6</v>
      </c>
      <c r="I126" s="0" t="n">
        <v>80840.89</v>
      </c>
      <c r="J126" s="0" t="n">
        <v>6714.29</v>
      </c>
    </row>
    <row r="127" customFormat="false" ht="15" hidden="false" customHeight="false" outlineLevel="0" collapsed="false">
      <c r="A127" s="0" t="s">
        <v>33</v>
      </c>
      <c r="B127" s="0" t="s">
        <v>16</v>
      </c>
      <c r="C127" s="0" t="n">
        <v>7666</v>
      </c>
      <c r="D127" s="0" t="n">
        <v>472</v>
      </c>
      <c r="E127" s="0" t="n">
        <v>127</v>
      </c>
      <c r="F127" s="0" t="n">
        <v>72</v>
      </c>
      <c r="G127" s="0" t="n">
        <v>55</v>
      </c>
      <c r="H127" s="0" t="n">
        <v>22</v>
      </c>
      <c r="I127" s="0" t="n">
        <v>188046.91</v>
      </c>
      <c r="J127" s="0" t="n">
        <v>1125.51</v>
      </c>
    </row>
    <row r="128" customFormat="false" ht="15" hidden="false" customHeight="false" outlineLevel="0" collapsed="false">
      <c r="A128" s="0" t="s">
        <v>33</v>
      </c>
      <c r="B128" s="0" t="s">
        <v>17</v>
      </c>
      <c r="C128" s="0" t="n">
        <v>1749</v>
      </c>
      <c r="D128" s="0" t="n">
        <v>260</v>
      </c>
      <c r="E128" s="0" t="n">
        <v>109</v>
      </c>
      <c r="F128" s="0" t="n">
        <v>81</v>
      </c>
      <c r="G128" s="0" t="n">
        <v>70</v>
      </c>
      <c r="H128" s="0" t="n">
        <v>28</v>
      </c>
      <c r="I128" s="0" t="n">
        <v>273720.86</v>
      </c>
      <c r="J128" s="0" t="n">
        <v>626.9</v>
      </c>
    </row>
    <row r="129" customFormat="false" ht="15" hidden="false" customHeight="false" outlineLevel="0" collapsed="false">
      <c r="A129" s="0" t="s">
        <v>33</v>
      </c>
      <c r="B129" s="0" t="s">
        <v>18</v>
      </c>
      <c r="C129" s="0" t="n">
        <v>6264</v>
      </c>
      <c r="D129" s="0" t="n">
        <v>133</v>
      </c>
      <c r="E129" s="0" t="n">
        <v>28</v>
      </c>
      <c r="F129" s="0" t="n">
        <v>9</v>
      </c>
      <c r="G129" s="0" t="n">
        <v>6</v>
      </c>
      <c r="H129" s="0" t="n">
        <v>1</v>
      </c>
      <c r="I129" s="0" t="n">
        <v>5942.12</v>
      </c>
      <c r="J129" s="0" t="n">
        <v>2559.45</v>
      </c>
    </row>
    <row r="130" customFormat="false" ht="15" hidden="false" customHeight="false" outlineLevel="0" collapsed="false">
      <c r="A130" s="0" t="s">
        <v>34</v>
      </c>
      <c r="B130" s="0" t="s">
        <v>11</v>
      </c>
      <c r="C130" s="0" t="n">
        <v>6835</v>
      </c>
      <c r="D130" s="0" t="n">
        <v>739</v>
      </c>
      <c r="E130" s="0" t="n">
        <v>257</v>
      </c>
      <c r="F130" s="0" t="n">
        <v>157</v>
      </c>
      <c r="G130" s="0" t="n">
        <v>131</v>
      </c>
      <c r="H130" s="0" t="n">
        <v>52</v>
      </c>
      <c r="I130" s="0" t="n">
        <v>303447.75</v>
      </c>
      <c r="J130" s="0" t="n">
        <v>3181.26</v>
      </c>
    </row>
    <row r="131" customFormat="false" ht="15" hidden="false" customHeight="false" outlineLevel="0" collapsed="false">
      <c r="A131" s="0" t="s">
        <v>34</v>
      </c>
      <c r="B131" s="0" t="s">
        <v>12</v>
      </c>
      <c r="C131" s="0" t="n">
        <v>10760</v>
      </c>
      <c r="D131" s="0" t="n">
        <v>180</v>
      </c>
      <c r="E131" s="0" t="n">
        <v>28</v>
      </c>
      <c r="F131" s="0" t="n">
        <v>14</v>
      </c>
      <c r="G131" s="0" t="n">
        <v>9</v>
      </c>
      <c r="H131" s="0" t="n">
        <v>2</v>
      </c>
      <c r="I131" s="0" t="n">
        <v>9261.16</v>
      </c>
      <c r="J131" s="0" t="n">
        <v>1522.35</v>
      </c>
    </row>
    <row r="132" customFormat="false" ht="15" hidden="false" customHeight="false" outlineLevel="0" collapsed="false">
      <c r="A132" s="0" t="s">
        <v>34</v>
      </c>
      <c r="B132" s="0" t="s">
        <v>13</v>
      </c>
      <c r="C132" s="0" t="n">
        <v>14442</v>
      </c>
      <c r="D132" s="0" t="n">
        <v>638</v>
      </c>
      <c r="E132" s="0" t="n">
        <v>182</v>
      </c>
      <c r="F132" s="0" t="n">
        <v>114</v>
      </c>
      <c r="G132" s="0" t="n">
        <v>85</v>
      </c>
      <c r="H132" s="0" t="n">
        <v>28</v>
      </c>
      <c r="I132" s="0" t="n">
        <v>190086.67</v>
      </c>
      <c r="J132" s="0" t="n">
        <v>9168.11</v>
      </c>
    </row>
    <row r="133" customFormat="false" ht="15" hidden="false" customHeight="false" outlineLevel="0" collapsed="false">
      <c r="A133" s="0" t="s">
        <v>34</v>
      </c>
      <c r="B133" s="0" t="s">
        <v>14</v>
      </c>
      <c r="C133" s="0" t="n">
        <v>12934</v>
      </c>
      <c r="D133" s="0" t="n">
        <v>318</v>
      </c>
      <c r="E133" s="0" t="n">
        <v>50</v>
      </c>
      <c r="F133" s="0" t="n">
        <v>23</v>
      </c>
      <c r="G133" s="0" t="n">
        <v>17</v>
      </c>
      <c r="H133" s="0" t="n">
        <v>4</v>
      </c>
      <c r="I133" s="0" t="n">
        <v>15395.21</v>
      </c>
      <c r="J133" s="0" t="n">
        <v>2744.57</v>
      </c>
    </row>
    <row r="134" customFormat="false" ht="15" hidden="false" customHeight="false" outlineLevel="0" collapsed="false">
      <c r="A134" s="0" t="s">
        <v>34</v>
      </c>
      <c r="B134" s="0" t="s">
        <v>15</v>
      </c>
      <c r="C134" s="0" t="n">
        <v>5480</v>
      </c>
      <c r="D134" s="0" t="n">
        <v>111</v>
      </c>
      <c r="E134" s="0" t="n">
        <v>29</v>
      </c>
      <c r="F134" s="0" t="n">
        <v>19</v>
      </c>
      <c r="G134" s="0" t="n">
        <v>15</v>
      </c>
      <c r="H134" s="0" t="n">
        <v>5</v>
      </c>
      <c r="I134" s="0" t="n">
        <v>58767.8</v>
      </c>
      <c r="J134" s="0" t="n">
        <v>5545.41</v>
      </c>
    </row>
    <row r="135" customFormat="false" ht="15" hidden="false" customHeight="false" outlineLevel="0" collapsed="false">
      <c r="A135" s="0" t="s">
        <v>34</v>
      </c>
      <c r="B135" s="0" t="s">
        <v>16</v>
      </c>
      <c r="C135" s="0" t="n">
        <v>9792</v>
      </c>
      <c r="D135" s="0" t="n">
        <v>680</v>
      </c>
      <c r="E135" s="0" t="n">
        <v>148</v>
      </c>
      <c r="F135" s="0" t="n">
        <v>75</v>
      </c>
      <c r="G135" s="0" t="n">
        <v>54</v>
      </c>
      <c r="H135" s="0" t="n">
        <v>20</v>
      </c>
      <c r="I135" s="0" t="n">
        <v>134016.47</v>
      </c>
      <c r="J135" s="0" t="n">
        <v>1082.98</v>
      </c>
    </row>
    <row r="136" customFormat="false" ht="15" hidden="false" customHeight="false" outlineLevel="0" collapsed="false">
      <c r="A136" s="0" t="s">
        <v>34</v>
      </c>
      <c r="B136" s="0" t="s">
        <v>17</v>
      </c>
      <c r="C136" s="0" t="n">
        <v>1126</v>
      </c>
      <c r="D136" s="0" t="n">
        <v>114</v>
      </c>
      <c r="E136" s="0" t="n">
        <v>56</v>
      </c>
      <c r="F136" s="0" t="n">
        <v>38</v>
      </c>
      <c r="G136" s="0" t="n">
        <v>31</v>
      </c>
      <c r="H136" s="0" t="n">
        <v>14</v>
      </c>
      <c r="I136" s="0" t="n">
        <v>137898.37</v>
      </c>
      <c r="J136" s="0" t="n">
        <v>163.76</v>
      </c>
    </row>
    <row r="137" customFormat="false" ht="15" hidden="false" customHeight="false" outlineLevel="0" collapsed="false">
      <c r="A137" s="0" t="s">
        <v>34</v>
      </c>
      <c r="B137" s="0" t="s">
        <v>18</v>
      </c>
      <c r="C137" s="0" t="n">
        <v>10504</v>
      </c>
      <c r="D137" s="0" t="n">
        <v>123</v>
      </c>
      <c r="E137" s="0" t="n">
        <v>22</v>
      </c>
      <c r="F137" s="0" t="n">
        <v>10</v>
      </c>
      <c r="G137" s="0" t="n">
        <v>7</v>
      </c>
      <c r="H137" s="0" t="n">
        <v>1</v>
      </c>
      <c r="I137" s="0" t="n">
        <v>4334.07</v>
      </c>
      <c r="J137" s="0" t="n">
        <v>1984.5</v>
      </c>
    </row>
    <row r="138" customFormat="false" ht="15" hidden="false" customHeight="false" outlineLevel="0" collapsed="false">
      <c r="A138" s="0" t="s">
        <v>35</v>
      </c>
      <c r="B138" s="0" t="s">
        <v>11</v>
      </c>
      <c r="C138" s="0" t="n">
        <v>6327</v>
      </c>
      <c r="D138" s="0" t="n">
        <v>929</v>
      </c>
      <c r="E138" s="0" t="n">
        <v>358</v>
      </c>
      <c r="F138" s="0" t="n">
        <v>225</v>
      </c>
      <c r="G138" s="0" t="n">
        <v>183</v>
      </c>
      <c r="H138" s="0" t="n">
        <v>64</v>
      </c>
      <c r="I138" s="0" t="n">
        <v>372282.01</v>
      </c>
      <c r="J138" s="0" t="n">
        <v>2100.43</v>
      </c>
    </row>
    <row r="139" customFormat="false" ht="15" hidden="false" customHeight="false" outlineLevel="0" collapsed="false">
      <c r="A139" s="0" t="s">
        <v>35</v>
      </c>
      <c r="B139" s="0" t="s">
        <v>12</v>
      </c>
      <c r="C139" s="0" t="n">
        <v>9048</v>
      </c>
      <c r="D139" s="0" t="n">
        <v>161</v>
      </c>
      <c r="E139" s="0" t="n">
        <v>36</v>
      </c>
      <c r="F139" s="0" t="n">
        <v>16</v>
      </c>
      <c r="G139" s="0" t="n">
        <v>10</v>
      </c>
      <c r="H139" s="0" t="n">
        <v>2</v>
      </c>
      <c r="I139" s="0" t="n">
        <v>11711.01</v>
      </c>
      <c r="J139" s="0" t="n">
        <v>2284.03</v>
      </c>
    </row>
    <row r="140" customFormat="false" ht="15" hidden="false" customHeight="false" outlineLevel="0" collapsed="false">
      <c r="A140" s="0" t="s">
        <v>35</v>
      </c>
      <c r="B140" s="0" t="s">
        <v>13</v>
      </c>
      <c r="C140" s="0" t="n">
        <v>12674</v>
      </c>
      <c r="D140" s="0" t="n">
        <v>468</v>
      </c>
      <c r="E140" s="0" t="n">
        <v>137</v>
      </c>
      <c r="F140" s="0" t="n">
        <v>81</v>
      </c>
      <c r="G140" s="0" t="n">
        <v>64</v>
      </c>
      <c r="H140" s="0" t="n">
        <v>19</v>
      </c>
      <c r="I140" s="0" t="n">
        <v>105062.1</v>
      </c>
      <c r="J140" s="0" t="n">
        <v>7631.53</v>
      </c>
    </row>
    <row r="141" customFormat="false" ht="15" hidden="false" customHeight="false" outlineLevel="0" collapsed="false">
      <c r="A141" s="0" t="s">
        <v>35</v>
      </c>
      <c r="B141" s="0" t="s">
        <v>14</v>
      </c>
      <c r="C141" s="0" t="n">
        <v>15252</v>
      </c>
      <c r="D141" s="0" t="n">
        <v>225</v>
      </c>
      <c r="E141" s="0" t="n">
        <v>37</v>
      </c>
      <c r="F141" s="0" t="n">
        <v>17</v>
      </c>
      <c r="G141" s="0" t="n">
        <v>12</v>
      </c>
      <c r="H141" s="0" t="n">
        <v>2</v>
      </c>
      <c r="I141" s="0" t="n">
        <v>8497.76</v>
      </c>
      <c r="J141" s="0" t="n">
        <v>2859.94</v>
      </c>
    </row>
    <row r="142" customFormat="false" ht="15" hidden="false" customHeight="false" outlineLevel="0" collapsed="false">
      <c r="A142" s="0" t="s">
        <v>35</v>
      </c>
      <c r="B142" s="0" t="s">
        <v>15</v>
      </c>
      <c r="C142" s="0" t="n">
        <v>2460</v>
      </c>
      <c r="D142" s="0" t="n">
        <v>75</v>
      </c>
      <c r="E142" s="0" t="n">
        <v>17</v>
      </c>
      <c r="F142" s="0" t="n">
        <v>11</v>
      </c>
      <c r="G142" s="0" t="n">
        <v>8</v>
      </c>
      <c r="H142" s="0" t="n">
        <v>3</v>
      </c>
      <c r="I142" s="0" t="n">
        <v>31942.72</v>
      </c>
      <c r="J142" s="0" t="n">
        <v>2648.4</v>
      </c>
    </row>
    <row r="143" customFormat="false" ht="15" hidden="false" customHeight="false" outlineLevel="0" collapsed="false">
      <c r="A143" s="0" t="s">
        <v>35</v>
      </c>
      <c r="B143" s="0" t="s">
        <v>16</v>
      </c>
      <c r="C143" s="0" t="n">
        <v>7951</v>
      </c>
      <c r="D143" s="0" t="n">
        <v>400</v>
      </c>
      <c r="E143" s="0" t="n">
        <v>103</v>
      </c>
      <c r="F143" s="0" t="n">
        <v>56</v>
      </c>
      <c r="G143" s="0" t="n">
        <v>38</v>
      </c>
      <c r="H143" s="0" t="n">
        <v>14</v>
      </c>
      <c r="I143" s="0" t="n">
        <v>87197.5</v>
      </c>
      <c r="J143" s="0" t="n">
        <v>946.61</v>
      </c>
    </row>
    <row r="144" customFormat="false" ht="15" hidden="false" customHeight="false" outlineLevel="0" collapsed="false">
      <c r="A144" s="0" t="s">
        <v>35</v>
      </c>
      <c r="B144" s="0" t="s">
        <v>17</v>
      </c>
      <c r="C144" s="0" t="n">
        <v>3020</v>
      </c>
      <c r="D144" s="0" t="n">
        <v>451</v>
      </c>
      <c r="E144" s="0" t="n">
        <v>202</v>
      </c>
      <c r="F144" s="0" t="n">
        <v>143</v>
      </c>
      <c r="G144" s="0" t="n">
        <v>123</v>
      </c>
      <c r="H144" s="0" t="n">
        <v>53</v>
      </c>
      <c r="I144" s="0" t="n">
        <v>460951.38</v>
      </c>
      <c r="J144" s="0" t="n">
        <v>1062.57</v>
      </c>
    </row>
    <row r="145" customFormat="false" ht="15" hidden="false" customHeight="false" outlineLevel="0" collapsed="false">
      <c r="A145" s="0" t="s">
        <v>35</v>
      </c>
      <c r="B145" s="0" t="s">
        <v>18</v>
      </c>
      <c r="C145" s="0" t="n">
        <v>5838</v>
      </c>
      <c r="D145" s="0" t="n">
        <v>160</v>
      </c>
      <c r="E145" s="0" t="n">
        <v>32</v>
      </c>
      <c r="F145" s="0" t="n">
        <v>14</v>
      </c>
      <c r="G145" s="0" t="n">
        <v>10</v>
      </c>
      <c r="H145" s="0" t="n">
        <v>2</v>
      </c>
      <c r="I145" s="0" t="n">
        <v>11348.05</v>
      </c>
      <c r="J145" s="0" t="n">
        <v>2733.38</v>
      </c>
    </row>
    <row r="146" customFormat="false" ht="15" hidden="false" customHeight="false" outlineLevel="0" collapsed="false">
      <c r="A146" s="0" t="s">
        <v>36</v>
      </c>
      <c r="B146" s="0" t="s">
        <v>11</v>
      </c>
      <c r="C146" s="0" t="n">
        <v>2985</v>
      </c>
      <c r="D146" s="0" t="n">
        <v>434</v>
      </c>
      <c r="E146" s="0" t="n">
        <v>160</v>
      </c>
      <c r="F146" s="0" t="n">
        <v>89</v>
      </c>
      <c r="G146" s="0" t="n">
        <v>69</v>
      </c>
      <c r="H146" s="0" t="n">
        <v>25</v>
      </c>
      <c r="I146" s="0" t="n">
        <v>154108.52</v>
      </c>
      <c r="J146" s="0" t="n">
        <v>955.69</v>
      </c>
    </row>
    <row r="147" customFormat="false" ht="15" hidden="false" customHeight="false" outlineLevel="0" collapsed="false">
      <c r="A147" s="0" t="s">
        <v>36</v>
      </c>
      <c r="B147" s="0" t="s">
        <v>12</v>
      </c>
      <c r="C147" s="0" t="n">
        <v>15223</v>
      </c>
      <c r="D147" s="0" t="n">
        <v>257</v>
      </c>
      <c r="E147" s="0" t="n">
        <v>47</v>
      </c>
      <c r="F147" s="0" t="n">
        <v>24</v>
      </c>
      <c r="G147" s="0" t="n">
        <v>16</v>
      </c>
      <c r="H147" s="0" t="n">
        <v>4</v>
      </c>
      <c r="I147" s="0" t="n">
        <v>20059.74</v>
      </c>
      <c r="J147" s="0" t="n">
        <v>3553.01</v>
      </c>
    </row>
    <row r="148" customFormat="false" ht="15" hidden="false" customHeight="false" outlineLevel="0" collapsed="false">
      <c r="A148" s="0" t="s">
        <v>36</v>
      </c>
      <c r="B148" s="0" t="s">
        <v>13</v>
      </c>
      <c r="C148" s="0" t="n">
        <v>10178</v>
      </c>
      <c r="D148" s="0" t="n">
        <v>513</v>
      </c>
      <c r="E148" s="0" t="n">
        <v>134</v>
      </c>
      <c r="F148" s="0" t="n">
        <v>82</v>
      </c>
      <c r="G148" s="0" t="n">
        <v>59</v>
      </c>
      <c r="H148" s="0" t="n">
        <v>19</v>
      </c>
      <c r="I148" s="0" t="n">
        <v>96667.1</v>
      </c>
      <c r="J148" s="0" t="n">
        <v>11654.56</v>
      </c>
    </row>
    <row r="149" customFormat="false" ht="15" hidden="false" customHeight="false" outlineLevel="0" collapsed="false">
      <c r="A149" s="0" t="s">
        <v>36</v>
      </c>
      <c r="B149" s="0" t="s">
        <v>14</v>
      </c>
      <c r="C149" s="0" t="n">
        <v>6009</v>
      </c>
      <c r="D149" s="0" t="n">
        <v>99</v>
      </c>
      <c r="E149" s="0" t="n">
        <v>18</v>
      </c>
      <c r="F149" s="0" t="n">
        <v>9</v>
      </c>
      <c r="G149" s="0" t="n">
        <v>6</v>
      </c>
      <c r="H149" s="0" t="n">
        <v>1</v>
      </c>
      <c r="I149" s="0" t="n">
        <v>4879.97</v>
      </c>
      <c r="J149" s="0" t="n">
        <v>1132.37</v>
      </c>
    </row>
    <row r="150" customFormat="false" ht="15" hidden="false" customHeight="false" outlineLevel="0" collapsed="false">
      <c r="A150" s="0" t="s">
        <v>36</v>
      </c>
      <c r="B150" s="0" t="s">
        <v>15</v>
      </c>
      <c r="C150" s="0" t="n">
        <v>4351</v>
      </c>
      <c r="D150" s="0" t="n">
        <v>96</v>
      </c>
      <c r="E150" s="0" t="n">
        <v>24</v>
      </c>
      <c r="F150" s="0" t="n">
        <v>16</v>
      </c>
      <c r="G150" s="0" t="n">
        <v>13</v>
      </c>
      <c r="H150" s="0" t="n">
        <v>4</v>
      </c>
      <c r="I150" s="0" t="n">
        <v>58640.56</v>
      </c>
      <c r="J150" s="0" t="n">
        <v>4094.63</v>
      </c>
    </row>
    <row r="151" customFormat="false" ht="15" hidden="false" customHeight="false" outlineLevel="0" collapsed="false">
      <c r="A151" s="0" t="s">
        <v>36</v>
      </c>
      <c r="B151" s="0" t="s">
        <v>16</v>
      </c>
      <c r="C151" s="0" t="n">
        <v>7746</v>
      </c>
      <c r="D151" s="0" t="n">
        <v>502</v>
      </c>
      <c r="E151" s="0" t="n">
        <v>102</v>
      </c>
      <c r="F151" s="0" t="n">
        <v>59</v>
      </c>
      <c r="G151" s="0" t="n">
        <v>47</v>
      </c>
      <c r="H151" s="0" t="n">
        <v>21</v>
      </c>
      <c r="I151" s="0" t="n">
        <v>134195.43</v>
      </c>
      <c r="J151" s="0" t="n">
        <v>1254.65</v>
      </c>
    </row>
    <row r="152" customFormat="false" ht="15" hidden="false" customHeight="false" outlineLevel="0" collapsed="false">
      <c r="A152" s="0" t="s">
        <v>36</v>
      </c>
      <c r="B152" s="0" t="s">
        <v>17</v>
      </c>
      <c r="C152" s="0" t="n">
        <v>2783</v>
      </c>
      <c r="D152" s="0" t="n">
        <v>285</v>
      </c>
      <c r="E152" s="0" t="n">
        <v>114</v>
      </c>
      <c r="F152" s="0" t="n">
        <v>77</v>
      </c>
      <c r="G152" s="0" t="n">
        <v>63</v>
      </c>
      <c r="H152" s="0" t="n">
        <v>30</v>
      </c>
      <c r="I152" s="0" t="n">
        <v>250131.24</v>
      </c>
      <c r="J152" s="0" t="n">
        <v>674.48</v>
      </c>
    </row>
    <row r="153" customFormat="false" ht="15" hidden="false" customHeight="false" outlineLevel="0" collapsed="false">
      <c r="A153" s="0" t="s">
        <v>36</v>
      </c>
      <c r="B153" s="0" t="s">
        <v>18</v>
      </c>
      <c r="C153" s="0" t="n">
        <v>5878</v>
      </c>
      <c r="D153" s="0" t="n">
        <v>176</v>
      </c>
      <c r="E153" s="0" t="n">
        <v>31</v>
      </c>
      <c r="F153" s="0" t="n">
        <v>12</v>
      </c>
      <c r="G153" s="0" t="n">
        <v>7</v>
      </c>
      <c r="H153" s="0" t="n">
        <v>1</v>
      </c>
      <c r="I153" s="0" t="n">
        <v>4441.54</v>
      </c>
      <c r="J153" s="0" t="n">
        <v>2980.88</v>
      </c>
    </row>
    <row r="154" customFormat="false" ht="15" hidden="false" customHeight="false" outlineLevel="0" collapsed="false">
      <c r="A154" s="0" t="s">
        <v>37</v>
      </c>
      <c r="B154" s="0" t="s">
        <v>11</v>
      </c>
      <c r="C154" s="0" t="n">
        <v>7604</v>
      </c>
      <c r="D154" s="0" t="n">
        <v>936</v>
      </c>
      <c r="E154" s="0" t="n">
        <v>355</v>
      </c>
      <c r="F154" s="0" t="n">
        <v>212</v>
      </c>
      <c r="G154" s="0" t="n">
        <v>161</v>
      </c>
      <c r="H154" s="0" t="n">
        <v>50</v>
      </c>
      <c r="I154" s="0" t="n">
        <v>293030.59</v>
      </c>
      <c r="J154" s="0" t="n">
        <v>3797.07</v>
      </c>
    </row>
    <row r="155" customFormat="false" ht="15" hidden="false" customHeight="false" outlineLevel="0" collapsed="false">
      <c r="A155" s="0" t="s">
        <v>37</v>
      </c>
      <c r="B155" s="0" t="s">
        <v>12</v>
      </c>
      <c r="C155" s="0" t="n">
        <v>13036</v>
      </c>
      <c r="D155" s="0" t="n">
        <v>320</v>
      </c>
      <c r="E155" s="0" t="n">
        <v>60</v>
      </c>
      <c r="F155" s="0" t="n">
        <v>26</v>
      </c>
      <c r="G155" s="0" t="n">
        <v>20</v>
      </c>
      <c r="H155" s="0" t="n">
        <v>4</v>
      </c>
      <c r="I155" s="0" t="n">
        <v>17839.64</v>
      </c>
      <c r="J155" s="0" t="n">
        <v>4562.78</v>
      </c>
    </row>
    <row r="156" customFormat="false" ht="15" hidden="false" customHeight="false" outlineLevel="0" collapsed="false">
      <c r="A156" s="0" t="s">
        <v>37</v>
      </c>
      <c r="B156" s="0" t="s">
        <v>13</v>
      </c>
      <c r="C156" s="0" t="n">
        <v>5823</v>
      </c>
      <c r="D156" s="0" t="n">
        <v>293</v>
      </c>
      <c r="E156" s="0" t="n">
        <v>77</v>
      </c>
      <c r="F156" s="0" t="n">
        <v>41</v>
      </c>
      <c r="G156" s="0" t="n">
        <v>34</v>
      </c>
      <c r="H156" s="0" t="n">
        <v>9</v>
      </c>
      <c r="I156" s="0" t="n">
        <v>70477.63</v>
      </c>
      <c r="J156" s="0" t="n">
        <v>5368.74</v>
      </c>
    </row>
    <row r="157" customFormat="false" ht="15" hidden="false" customHeight="false" outlineLevel="0" collapsed="false">
      <c r="A157" s="0" t="s">
        <v>37</v>
      </c>
      <c r="B157" s="0" t="s">
        <v>14</v>
      </c>
      <c r="C157" s="0" t="n">
        <v>9344</v>
      </c>
      <c r="D157" s="0" t="n">
        <v>116</v>
      </c>
      <c r="E157" s="0" t="n">
        <v>21</v>
      </c>
      <c r="F157" s="0" t="n">
        <v>9</v>
      </c>
      <c r="G157" s="0" t="n">
        <v>6</v>
      </c>
      <c r="H157" s="0" t="n">
        <v>1</v>
      </c>
      <c r="I157" s="0" t="n">
        <v>4171.05</v>
      </c>
      <c r="J157" s="0" t="n">
        <v>1598.17</v>
      </c>
    </row>
    <row r="158" customFormat="false" ht="15" hidden="false" customHeight="false" outlineLevel="0" collapsed="false">
      <c r="A158" s="0" t="s">
        <v>37</v>
      </c>
      <c r="B158" s="0" t="s">
        <v>15</v>
      </c>
      <c r="C158" s="0" t="n">
        <v>5474</v>
      </c>
      <c r="D158" s="0" t="n">
        <v>194</v>
      </c>
      <c r="E158" s="0" t="n">
        <v>49</v>
      </c>
      <c r="F158" s="0" t="n">
        <v>35</v>
      </c>
      <c r="G158" s="0" t="n">
        <v>28</v>
      </c>
      <c r="H158" s="0" t="n">
        <v>10</v>
      </c>
      <c r="I158" s="0" t="n">
        <v>101626.31</v>
      </c>
      <c r="J158" s="0" t="n">
        <v>6329.23</v>
      </c>
    </row>
    <row r="159" customFormat="false" ht="15" hidden="false" customHeight="false" outlineLevel="0" collapsed="false">
      <c r="A159" s="0" t="s">
        <v>37</v>
      </c>
      <c r="B159" s="0" t="s">
        <v>16</v>
      </c>
      <c r="C159" s="0" t="n">
        <v>7804</v>
      </c>
      <c r="D159" s="0" t="n">
        <v>465</v>
      </c>
      <c r="E159" s="0" t="n">
        <v>95</v>
      </c>
      <c r="F159" s="0" t="n">
        <v>53</v>
      </c>
      <c r="G159" s="0" t="n">
        <v>37</v>
      </c>
      <c r="H159" s="0" t="n">
        <v>15</v>
      </c>
      <c r="I159" s="0" t="n">
        <v>110484.91</v>
      </c>
      <c r="J159" s="0" t="n">
        <v>753.64</v>
      </c>
    </row>
    <row r="160" customFormat="false" ht="15" hidden="false" customHeight="false" outlineLevel="0" collapsed="false">
      <c r="A160" s="0" t="s">
        <v>37</v>
      </c>
      <c r="B160" s="0" t="s">
        <v>17</v>
      </c>
      <c r="C160" s="0" t="n">
        <v>1034</v>
      </c>
      <c r="D160" s="0" t="n">
        <v>110</v>
      </c>
      <c r="E160" s="0" t="n">
        <v>48</v>
      </c>
      <c r="F160" s="0" t="n">
        <v>33</v>
      </c>
      <c r="G160" s="0" t="n">
        <v>27</v>
      </c>
      <c r="H160" s="0" t="n">
        <v>11</v>
      </c>
      <c r="I160" s="0" t="n">
        <v>105384.04</v>
      </c>
      <c r="J160" s="0" t="n">
        <v>262.9</v>
      </c>
    </row>
    <row r="161" customFormat="false" ht="15" hidden="false" customHeight="false" outlineLevel="0" collapsed="false">
      <c r="A161" s="0" t="s">
        <v>37</v>
      </c>
      <c r="B161" s="0" t="s">
        <v>18</v>
      </c>
      <c r="C161" s="0" t="n">
        <v>10458</v>
      </c>
      <c r="D161" s="0" t="n">
        <v>112</v>
      </c>
      <c r="E161" s="0" t="n">
        <v>20</v>
      </c>
      <c r="F161" s="0" t="n">
        <v>7</v>
      </c>
      <c r="G161" s="0" t="n">
        <v>4</v>
      </c>
      <c r="H161" s="0" t="n">
        <v>0</v>
      </c>
      <c r="I161" s="0" t="n">
        <v>0</v>
      </c>
      <c r="J161" s="0" t="n">
        <v>1279.6</v>
      </c>
    </row>
    <row r="162" customFormat="false" ht="15" hidden="false" customHeight="false" outlineLevel="0" collapsed="false">
      <c r="A162" s="0" t="s">
        <v>38</v>
      </c>
      <c r="B162" s="0" t="s">
        <v>11</v>
      </c>
      <c r="C162" s="0" t="n">
        <v>5737</v>
      </c>
      <c r="D162" s="0" t="n">
        <v>787</v>
      </c>
      <c r="E162" s="0" t="n">
        <v>271</v>
      </c>
      <c r="F162" s="0" t="n">
        <v>166</v>
      </c>
      <c r="G162" s="0" t="n">
        <v>133</v>
      </c>
      <c r="H162" s="0" t="n">
        <v>49</v>
      </c>
      <c r="I162" s="0" t="n">
        <v>250914.5</v>
      </c>
      <c r="J162" s="0" t="n">
        <v>1766.73</v>
      </c>
    </row>
    <row r="163" customFormat="false" ht="15" hidden="false" customHeight="false" outlineLevel="0" collapsed="false">
      <c r="A163" s="0" t="s">
        <v>38</v>
      </c>
      <c r="B163" s="0" t="s">
        <v>12</v>
      </c>
      <c r="C163" s="0" t="n">
        <v>8398</v>
      </c>
      <c r="D163" s="0" t="n">
        <v>135</v>
      </c>
      <c r="E163" s="0" t="n">
        <v>25</v>
      </c>
      <c r="F163" s="0" t="n">
        <v>10</v>
      </c>
      <c r="G163" s="0" t="n">
        <v>7</v>
      </c>
      <c r="H163" s="0" t="n">
        <v>1</v>
      </c>
      <c r="I163" s="0" t="n">
        <v>4400.3</v>
      </c>
      <c r="J163" s="0" t="n">
        <v>1836.55</v>
      </c>
    </row>
    <row r="164" customFormat="false" ht="15" hidden="false" customHeight="false" outlineLevel="0" collapsed="false">
      <c r="A164" s="0" t="s">
        <v>38</v>
      </c>
      <c r="B164" s="0" t="s">
        <v>13</v>
      </c>
      <c r="C164" s="0" t="n">
        <v>11181</v>
      </c>
      <c r="D164" s="0" t="n">
        <v>571</v>
      </c>
      <c r="E164" s="0" t="n">
        <v>146</v>
      </c>
      <c r="F164" s="0" t="n">
        <v>73</v>
      </c>
      <c r="G164" s="0" t="n">
        <v>54</v>
      </c>
      <c r="H164" s="0" t="n">
        <v>16</v>
      </c>
      <c r="I164" s="0" t="n">
        <v>96830.09</v>
      </c>
      <c r="J164" s="0" t="n">
        <v>8495.72</v>
      </c>
    </row>
    <row r="165" customFormat="false" ht="15" hidden="false" customHeight="false" outlineLevel="0" collapsed="false">
      <c r="A165" s="0" t="s">
        <v>38</v>
      </c>
      <c r="B165" s="0" t="s">
        <v>14</v>
      </c>
      <c r="C165" s="0" t="n">
        <v>8842</v>
      </c>
      <c r="D165" s="0" t="n">
        <v>120</v>
      </c>
      <c r="E165" s="0" t="n">
        <v>22</v>
      </c>
      <c r="F165" s="0" t="n">
        <v>10</v>
      </c>
      <c r="G165" s="0" t="n">
        <v>6</v>
      </c>
      <c r="H165" s="0" t="n">
        <v>1</v>
      </c>
      <c r="I165" s="0" t="n">
        <v>4882.59</v>
      </c>
      <c r="J165" s="0" t="n">
        <v>883.66</v>
      </c>
    </row>
    <row r="166" customFormat="false" ht="15" hidden="false" customHeight="false" outlineLevel="0" collapsed="false">
      <c r="A166" s="0" t="s">
        <v>38</v>
      </c>
      <c r="B166" s="0" t="s">
        <v>15</v>
      </c>
      <c r="C166" s="0" t="n">
        <v>4836</v>
      </c>
      <c r="D166" s="0" t="n">
        <v>180</v>
      </c>
      <c r="E166" s="0" t="n">
        <v>45</v>
      </c>
      <c r="F166" s="0" t="n">
        <v>32</v>
      </c>
      <c r="G166" s="0" t="n">
        <v>24</v>
      </c>
      <c r="H166" s="0" t="n">
        <v>9</v>
      </c>
      <c r="I166" s="0" t="n">
        <v>130266.75</v>
      </c>
      <c r="J166" s="0" t="n">
        <v>5688.41</v>
      </c>
    </row>
    <row r="167" customFormat="false" ht="15" hidden="false" customHeight="false" outlineLevel="0" collapsed="false">
      <c r="A167" s="0" t="s">
        <v>38</v>
      </c>
      <c r="B167" s="0" t="s">
        <v>16</v>
      </c>
      <c r="C167" s="0" t="n">
        <v>8223</v>
      </c>
      <c r="D167" s="0" t="n">
        <v>381</v>
      </c>
      <c r="E167" s="0" t="n">
        <v>102</v>
      </c>
      <c r="F167" s="0" t="n">
        <v>53</v>
      </c>
      <c r="G167" s="0" t="n">
        <v>42</v>
      </c>
      <c r="H167" s="0" t="n">
        <v>16</v>
      </c>
      <c r="I167" s="0" t="n">
        <v>133905.53</v>
      </c>
      <c r="J167" s="0" t="n">
        <v>519.77</v>
      </c>
    </row>
    <row r="168" customFormat="false" ht="15" hidden="false" customHeight="false" outlineLevel="0" collapsed="false">
      <c r="A168" s="0" t="s">
        <v>38</v>
      </c>
      <c r="B168" s="0" t="s">
        <v>17</v>
      </c>
      <c r="C168" s="0" t="n">
        <v>2976</v>
      </c>
      <c r="D168" s="0" t="n">
        <v>445</v>
      </c>
      <c r="E168" s="0" t="n">
        <v>202</v>
      </c>
      <c r="F168" s="0" t="n">
        <v>145</v>
      </c>
      <c r="G168" s="0" t="n">
        <v>116</v>
      </c>
      <c r="H168" s="0" t="n">
        <v>57</v>
      </c>
      <c r="I168" s="0" t="n">
        <v>510205.69</v>
      </c>
      <c r="J168" s="0" t="n">
        <v>1312.57</v>
      </c>
    </row>
    <row r="169" customFormat="false" ht="15" hidden="false" customHeight="false" outlineLevel="0" collapsed="false">
      <c r="A169" s="0" t="s">
        <v>38</v>
      </c>
      <c r="B169" s="0" t="s">
        <v>18</v>
      </c>
      <c r="C169" s="0" t="n">
        <v>6396</v>
      </c>
      <c r="D169" s="0" t="n">
        <v>150</v>
      </c>
      <c r="E169" s="0" t="n">
        <v>23</v>
      </c>
      <c r="F169" s="0" t="n">
        <v>8</v>
      </c>
      <c r="G169" s="0" t="n">
        <v>5</v>
      </c>
      <c r="H169" s="0" t="n">
        <v>0</v>
      </c>
      <c r="I169" s="0" t="n">
        <v>0</v>
      </c>
      <c r="J169" s="0" t="n">
        <v>2802.41</v>
      </c>
    </row>
    <row r="170" customFormat="false" ht="15" hidden="false" customHeight="false" outlineLevel="0" collapsed="false">
      <c r="A170" s="0" t="s">
        <v>39</v>
      </c>
      <c r="B170" s="0" t="s">
        <v>11</v>
      </c>
      <c r="C170" s="0" t="n">
        <v>5226</v>
      </c>
      <c r="D170" s="0" t="n">
        <v>606</v>
      </c>
      <c r="E170" s="0" t="n">
        <v>203</v>
      </c>
      <c r="F170" s="0" t="n">
        <v>123</v>
      </c>
      <c r="G170" s="0" t="n">
        <v>94</v>
      </c>
      <c r="H170" s="0" t="n">
        <v>31</v>
      </c>
      <c r="I170" s="0" t="n">
        <v>171004.27</v>
      </c>
      <c r="J170" s="0" t="n">
        <v>2974.39</v>
      </c>
    </row>
    <row r="171" customFormat="false" ht="15" hidden="false" customHeight="false" outlineLevel="0" collapsed="false">
      <c r="A171" s="0" t="s">
        <v>39</v>
      </c>
      <c r="B171" s="0" t="s">
        <v>12</v>
      </c>
      <c r="C171" s="0" t="n">
        <v>13263</v>
      </c>
      <c r="D171" s="0" t="n">
        <v>343</v>
      </c>
      <c r="E171" s="0" t="n">
        <v>68</v>
      </c>
      <c r="F171" s="0" t="n">
        <v>36</v>
      </c>
      <c r="G171" s="0" t="n">
        <v>28</v>
      </c>
      <c r="H171" s="0" t="n">
        <v>6</v>
      </c>
      <c r="I171" s="0" t="n">
        <v>31108.2</v>
      </c>
      <c r="J171" s="0" t="n">
        <v>3408.66</v>
      </c>
    </row>
    <row r="172" customFormat="false" ht="15" hidden="false" customHeight="false" outlineLevel="0" collapsed="false">
      <c r="A172" s="0" t="s">
        <v>39</v>
      </c>
      <c r="B172" s="0" t="s">
        <v>13</v>
      </c>
      <c r="C172" s="0" t="n">
        <v>12427</v>
      </c>
      <c r="D172" s="0" t="n">
        <v>531</v>
      </c>
      <c r="E172" s="0" t="n">
        <v>124</v>
      </c>
      <c r="F172" s="0" t="n">
        <v>68</v>
      </c>
      <c r="G172" s="0" t="n">
        <v>57</v>
      </c>
      <c r="H172" s="0" t="n">
        <v>14</v>
      </c>
      <c r="I172" s="0" t="n">
        <v>94304.37</v>
      </c>
      <c r="J172" s="0" t="n">
        <v>12037.94</v>
      </c>
    </row>
    <row r="173" customFormat="false" ht="15" hidden="false" customHeight="false" outlineLevel="0" collapsed="false">
      <c r="A173" s="0" t="s">
        <v>39</v>
      </c>
      <c r="B173" s="0" t="s">
        <v>14</v>
      </c>
      <c r="C173" s="0" t="n">
        <v>17035</v>
      </c>
      <c r="D173" s="0" t="n">
        <v>261</v>
      </c>
      <c r="E173" s="0" t="n">
        <v>48</v>
      </c>
      <c r="F173" s="0" t="n">
        <v>22</v>
      </c>
      <c r="G173" s="0" t="n">
        <v>16</v>
      </c>
      <c r="H173" s="0" t="n">
        <v>3</v>
      </c>
      <c r="I173" s="0" t="n">
        <v>16854.2</v>
      </c>
      <c r="J173" s="0" t="n">
        <v>3134.81</v>
      </c>
    </row>
    <row r="174" customFormat="false" ht="15" hidden="false" customHeight="false" outlineLevel="0" collapsed="false">
      <c r="A174" s="0" t="s">
        <v>39</v>
      </c>
      <c r="B174" s="0" t="s">
        <v>15</v>
      </c>
      <c r="C174" s="0" t="n">
        <v>2718</v>
      </c>
      <c r="D174" s="0" t="n">
        <v>67</v>
      </c>
      <c r="E174" s="0" t="n">
        <v>18</v>
      </c>
      <c r="F174" s="0" t="n">
        <v>11</v>
      </c>
      <c r="G174" s="0" t="n">
        <v>9</v>
      </c>
      <c r="H174" s="0" t="n">
        <v>3</v>
      </c>
      <c r="I174" s="0" t="n">
        <v>43061.25</v>
      </c>
      <c r="J174" s="0" t="n">
        <v>2341.29</v>
      </c>
    </row>
    <row r="175" customFormat="false" ht="15" hidden="false" customHeight="false" outlineLevel="0" collapsed="false">
      <c r="A175" s="0" t="s">
        <v>39</v>
      </c>
      <c r="B175" s="0" t="s">
        <v>16</v>
      </c>
      <c r="C175" s="0" t="n">
        <v>11910</v>
      </c>
      <c r="D175" s="0" t="n">
        <v>631</v>
      </c>
      <c r="E175" s="0" t="n">
        <v>165</v>
      </c>
      <c r="F175" s="0" t="n">
        <v>84</v>
      </c>
      <c r="G175" s="0" t="n">
        <v>66</v>
      </c>
      <c r="H175" s="0" t="n">
        <v>26</v>
      </c>
      <c r="I175" s="0" t="n">
        <v>161732.75</v>
      </c>
      <c r="J175" s="0" t="n">
        <v>928.9</v>
      </c>
    </row>
    <row r="176" customFormat="false" ht="15" hidden="false" customHeight="false" outlineLevel="0" collapsed="false">
      <c r="A176" s="0" t="s">
        <v>39</v>
      </c>
      <c r="B176" s="0" t="s">
        <v>17</v>
      </c>
      <c r="C176" s="0" t="n">
        <v>1509</v>
      </c>
      <c r="D176" s="0" t="n">
        <v>229</v>
      </c>
      <c r="E176" s="0" t="n">
        <v>99</v>
      </c>
      <c r="F176" s="0" t="n">
        <v>72</v>
      </c>
      <c r="G176" s="0" t="n">
        <v>59</v>
      </c>
      <c r="H176" s="0" t="n">
        <v>25</v>
      </c>
      <c r="I176" s="0" t="n">
        <v>228008.29</v>
      </c>
      <c r="J176" s="0" t="n">
        <v>511.65</v>
      </c>
    </row>
    <row r="177" customFormat="false" ht="15" hidden="false" customHeight="false" outlineLevel="0" collapsed="false">
      <c r="A177" s="0" t="s">
        <v>39</v>
      </c>
      <c r="B177" s="0" t="s">
        <v>18</v>
      </c>
      <c r="C177" s="0" t="n">
        <v>6169</v>
      </c>
      <c r="D177" s="0" t="n">
        <v>82</v>
      </c>
      <c r="E177" s="0" t="n">
        <v>12</v>
      </c>
      <c r="F177" s="0" t="n">
        <v>5</v>
      </c>
      <c r="G177" s="0" t="n">
        <v>3</v>
      </c>
      <c r="H177" s="0" t="n">
        <v>0</v>
      </c>
      <c r="I177" s="0" t="n">
        <v>0</v>
      </c>
      <c r="J177" s="0" t="n">
        <v>1512.22</v>
      </c>
    </row>
    <row r="178" customFormat="false" ht="15" hidden="false" customHeight="false" outlineLevel="0" collapsed="false">
      <c r="A178" s="0" t="s">
        <v>40</v>
      </c>
      <c r="B178" s="0" t="s">
        <v>11</v>
      </c>
      <c r="C178" s="0" t="n">
        <v>7849</v>
      </c>
      <c r="D178" s="0" t="n">
        <v>679</v>
      </c>
      <c r="E178" s="0" t="n">
        <v>249</v>
      </c>
      <c r="F178" s="0" t="n">
        <v>147</v>
      </c>
      <c r="G178" s="0" t="n">
        <v>123</v>
      </c>
      <c r="H178" s="0" t="n">
        <v>39</v>
      </c>
      <c r="I178" s="0" t="n">
        <v>260372.99</v>
      </c>
      <c r="J178" s="0" t="n">
        <v>2768.88</v>
      </c>
    </row>
    <row r="179" customFormat="false" ht="15" hidden="false" customHeight="false" outlineLevel="0" collapsed="false">
      <c r="A179" s="0" t="s">
        <v>40</v>
      </c>
      <c r="B179" s="0" t="s">
        <v>12</v>
      </c>
      <c r="C179" s="0" t="n">
        <v>8472</v>
      </c>
      <c r="D179" s="0" t="n">
        <v>142</v>
      </c>
      <c r="E179" s="0" t="n">
        <v>27</v>
      </c>
      <c r="F179" s="0" t="n">
        <v>14</v>
      </c>
      <c r="G179" s="0" t="n">
        <v>9</v>
      </c>
      <c r="H179" s="0" t="n">
        <v>2</v>
      </c>
      <c r="I179" s="0" t="n">
        <v>8593.37</v>
      </c>
      <c r="J179" s="0" t="n">
        <v>1177.32</v>
      </c>
    </row>
    <row r="180" customFormat="false" ht="15" hidden="false" customHeight="false" outlineLevel="0" collapsed="false">
      <c r="A180" s="0" t="s">
        <v>40</v>
      </c>
      <c r="B180" s="0" t="s">
        <v>13</v>
      </c>
      <c r="C180" s="0" t="n">
        <v>10853</v>
      </c>
      <c r="D180" s="0" t="n">
        <v>608</v>
      </c>
      <c r="E180" s="0" t="n">
        <v>134</v>
      </c>
      <c r="F180" s="0" t="n">
        <v>69</v>
      </c>
      <c r="G180" s="0" t="n">
        <v>51</v>
      </c>
      <c r="H180" s="0" t="n">
        <v>13</v>
      </c>
      <c r="I180" s="0" t="n">
        <v>101527.62</v>
      </c>
      <c r="J180" s="0" t="n">
        <v>11741.51</v>
      </c>
    </row>
    <row r="181" customFormat="false" ht="15" hidden="false" customHeight="false" outlineLevel="0" collapsed="false">
      <c r="A181" s="0" t="s">
        <v>40</v>
      </c>
      <c r="B181" s="0" t="s">
        <v>14</v>
      </c>
      <c r="C181" s="0" t="n">
        <v>17852</v>
      </c>
      <c r="D181" s="0" t="n">
        <v>489</v>
      </c>
      <c r="E181" s="0" t="n">
        <v>63</v>
      </c>
      <c r="F181" s="0" t="n">
        <v>32</v>
      </c>
      <c r="G181" s="0" t="n">
        <v>22</v>
      </c>
      <c r="H181" s="0" t="n">
        <v>5</v>
      </c>
      <c r="I181" s="0" t="n">
        <v>24155.96</v>
      </c>
      <c r="J181" s="0" t="n">
        <v>4979.57</v>
      </c>
    </row>
    <row r="182" customFormat="false" ht="15" hidden="false" customHeight="false" outlineLevel="0" collapsed="false">
      <c r="A182" s="0" t="s">
        <v>40</v>
      </c>
      <c r="B182" s="0" t="s">
        <v>15</v>
      </c>
      <c r="C182" s="0" t="n">
        <v>3955</v>
      </c>
      <c r="D182" s="0" t="n">
        <v>131</v>
      </c>
      <c r="E182" s="0" t="n">
        <v>25</v>
      </c>
      <c r="F182" s="0" t="n">
        <v>15</v>
      </c>
      <c r="G182" s="0" t="n">
        <v>11</v>
      </c>
      <c r="H182" s="0" t="n">
        <v>4</v>
      </c>
      <c r="I182" s="0" t="n">
        <v>53468.65</v>
      </c>
      <c r="J182" s="0" t="n">
        <v>4458.86</v>
      </c>
    </row>
    <row r="183" customFormat="false" ht="15" hidden="false" customHeight="false" outlineLevel="0" collapsed="false">
      <c r="A183" s="0" t="s">
        <v>40</v>
      </c>
      <c r="B183" s="0" t="s">
        <v>16</v>
      </c>
      <c r="C183" s="0" t="n">
        <v>14501</v>
      </c>
      <c r="D183" s="0" t="n">
        <v>976</v>
      </c>
      <c r="E183" s="0" t="n">
        <v>234</v>
      </c>
      <c r="F183" s="0" t="n">
        <v>131</v>
      </c>
      <c r="G183" s="0" t="n">
        <v>102</v>
      </c>
      <c r="H183" s="0" t="n">
        <v>41</v>
      </c>
      <c r="I183" s="0" t="n">
        <v>360506.69</v>
      </c>
      <c r="J183" s="0" t="n">
        <v>1035.32</v>
      </c>
    </row>
    <row r="184" customFormat="false" ht="15" hidden="false" customHeight="false" outlineLevel="0" collapsed="false">
      <c r="A184" s="0" t="s">
        <v>40</v>
      </c>
      <c r="B184" s="0" t="s">
        <v>17</v>
      </c>
      <c r="C184" s="0" t="n">
        <v>3068</v>
      </c>
      <c r="D184" s="0" t="n">
        <v>514</v>
      </c>
      <c r="E184" s="0" t="n">
        <v>216</v>
      </c>
      <c r="F184" s="0" t="n">
        <v>154</v>
      </c>
      <c r="G184" s="0" t="n">
        <v>126</v>
      </c>
      <c r="H184" s="0" t="n">
        <v>58</v>
      </c>
      <c r="I184" s="0" t="n">
        <v>520465.08</v>
      </c>
      <c r="J184" s="0" t="n">
        <v>623.58</v>
      </c>
    </row>
    <row r="185" customFormat="false" ht="15" hidden="false" customHeight="false" outlineLevel="0" collapsed="false">
      <c r="A185" s="0" t="s">
        <v>40</v>
      </c>
      <c r="B185" s="0" t="s">
        <v>18</v>
      </c>
      <c r="C185" s="0" t="n">
        <v>11995</v>
      </c>
      <c r="D185" s="0" t="n">
        <v>131</v>
      </c>
      <c r="E185" s="0" t="n">
        <v>28</v>
      </c>
      <c r="F185" s="0" t="n">
        <v>11</v>
      </c>
      <c r="G185" s="0" t="n">
        <v>8</v>
      </c>
      <c r="H185" s="0" t="n">
        <v>1</v>
      </c>
      <c r="I185" s="0" t="n">
        <v>5476.9</v>
      </c>
      <c r="J185" s="0" t="n">
        <v>2052.79</v>
      </c>
    </row>
    <row r="186" customFormat="false" ht="15" hidden="false" customHeight="false" outlineLevel="0" collapsed="false">
      <c r="A186" s="0" t="s">
        <v>41</v>
      </c>
      <c r="B186" s="0" t="s">
        <v>11</v>
      </c>
      <c r="C186" s="0" t="n">
        <v>4900</v>
      </c>
      <c r="D186" s="0" t="n">
        <v>528</v>
      </c>
      <c r="E186" s="0" t="n">
        <v>189</v>
      </c>
      <c r="F186" s="0" t="n">
        <v>114</v>
      </c>
      <c r="G186" s="0" t="n">
        <v>92</v>
      </c>
      <c r="H186" s="0" t="n">
        <v>34</v>
      </c>
      <c r="I186" s="0" t="n">
        <v>218832.37</v>
      </c>
      <c r="J186" s="0" t="n">
        <v>2343.77</v>
      </c>
    </row>
    <row r="187" customFormat="false" ht="15" hidden="false" customHeight="false" outlineLevel="0" collapsed="false">
      <c r="A187" s="0" t="s">
        <v>41</v>
      </c>
      <c r="B187" s="0" t="s">
        <v>12</v>
      </c>
      <c r="C187" s="0" t="n">
        <v>17814</v>
      </c>
      <c r="D187" s="0" t="n">
        <v>299</v>
      </c>
      <c r="E187" s="0" t="n">
        <v>61</v>
      </c>
      <c r="F187" s="0" t="n">
        <v>24</v>
      </c>
      <c r="G187" s="0" t="n">
        <v>16</v>
      </c>
      <c r="H187" s="0" t="n">
        <v>3</v>
      </c>
      <c r="I187" s="0" t="n">
        <v>16172.8</v>
      </c>
      <c r="J187" s="0" t="n">
        <v>3221.19</v>
      </c>
    </row>
    <row r="188" customFormat="false" ht="15" hidden="false" customHeight="false" outlineLevel="0" collapsed="false">
      <c r="A188" s="0" t="s">
        <v>41</v>
      </c>
      <c r="B188" s="0" t="s">
        <v>13</v>
      </c>
      <c r="C188" s="0" t="n">
        <v>13785</v>
      </c>
      <c r="D188" s="0" t="n">
        <v>580</v>
      </c>
      <c r="E188" s="0" t="n">
        <v>134</v>
      </c>
      <c r="F188" s="0" t="n">
        <v>80</v>
      </c>
      <c r="G188" s="0" t="n">
        <v>65</v>
      </c>
      <c r="H188" s="0" t="n">
        <v>21</v>
      </c>
      <c r="I188" s="0" t="n">
        <v>132441.75</v>
      </c>
      <c r="J188" s="0" t="n">
        <v>12747.32</v>
      </c>
    </row>
    <row r="189" customFormat="false" ht="15" hidden="false" customHeight="false" outlineLevel="0" collapsed="false">
      <c r="A189" s="0" t="s">
        <v>41</v>
      </c>
      <c r="B189" s="0" t="s">
        <v>14</v>
      </c>
      <c r="C189" s="0" t="n">
        <v>11274</v>
      </c>
      <c r="D189" s="0" t="n">
        <v>216</v>
      </c>
      <c r="E189" s="0" t="n">
        <v>32</v>
      </c>
      <c r="F189" s="0" t="n">
        <v>13</v>
      </c>
      <c r="G189" s="0" t="n">
        <v>8</v>
      </c>
      <c r="H189" s="0" t="n">
        <v>1</v>
      </c>
      <c r="I189" s="0" t="n">
        <v>5136.43</v>
      </c>
      <c r="J189" s="0" t="n">
        <v>2424.41</v>
      </c>
    </row>
    <row r="190" customFormat="false" ht="15" hidden="false" customHeight="false" outlineLevel="0" collapsed="false">
      <c r="A190" s="0" t="s">
        <v>41</v>
      </c>
      <c r="B190" s="0" t="s">
        <v>15</v>
      </c>
      <c r="C190" s="0" t="n">
        <v>4477</v>
      </c>
      <c r="D190" s="0" t="n">
        <v>131</v>
      </c>
      <c r="E190" s="0" t="n">
        <v>28</v>
      </c>
      <c r="F190" s="0" t="n">
        <v>20</v>
      </c>
      <c r="G190" s="0" t="n">
        <v>15</v>
      </c>
      <c r="H190" s="0" t="n">
        <v>5</v>
      </c>
      <c r="I190" s="0" t="n">
        <v>58531.2</v>
      </c>
      <c r="J190" s="0" t="n">
        <v>3997.18</v>
      </c>
    </row>
    <row r="191" customFormat="false" ht="15" hidden="false" customHeight="false" outlineLevel="0" collapsed="false">
      <c r="A191" s="0" t="s">
        <v>41</v>
      </c>
      <c r="B191" s="0" t="s">
        <v>16</v>
      </c>
      <c r="C191" s="0" t="n">
        <v>14599</v>
      </c>
      <c r="D191" s="0" t="n">
        <v>594</v>
      </c>
      <c r="E191" s="0" t="n">
        <v>128</v>
      </c>
      <c r="F191" s="0" t="n">
        <v>64</v>
      </c>
      <c r="G191" s="0" t="n">
        <v>48</v>
      </c>
      <c r="H191" s="0" t="n">
        <v>21</v>
      </c>
      <c r="I191" s="0" t="n">
        <v>184403.18</v>
      </c>
      <c r="J191" s="0" t="n">
        <v>883.26</v>
      </c>
    </row>
    <row r="192" customFormat="false" ht="15" hidden="false" customHeight="false" outlineLevel="0" collapsed="false">
      <c r="A192" s="0" t="s">
        <v>41</v>
      </c>
      <c r="B192" s="0" t="s">
        <v>17</v>
      </c>
      <c r="C192" s="0" t="n">
        <v>1180</v>
      </c>
      <c r="D192" s="0" t="n">
        <v>228</v>
      </c>
      <c r="E192" s="0" t="n">
        <v>99</v>
      </c>
      <c r="F192" s="0" t="n">
        <v>65</v>
      </c>
      <c r="G192" s="0" t="n">
        <v>53</v>
      </c>
      <c r="H192" s="0" t="n">
        <v>22</v>
      </c>
      <c r="I192" s="0" t="n">
        <v>174281.14</v>
      </c>
      <c r="J192" s="0" t="n">
        <v>357.9</v>
      </c>
    </row>
    <row r="193" customFormat="false" ht="15" hidden="false" customHeight="false" outlineLevel="0" collapsed="false">
      <c r="A193" s="0" t="s">
        <v>41</v>
      </c>
      <c r="B193" s="0" t="s">
        <v>18</v>
      </c>
      <c r="C193" s="0" t="n">
        <v>10621</v>
      </c>
      <c r="D193" s="0" t="n">
        <v>220</v>
      </c>
      <c r="E193" s="0" t="n">
        <v>37</v>
      </c>
      <c r="F193" s="0" t="n">
        <v>16</v>
      </c>
      <c r="G193" s="0" t="n">
        <v>11</v>
      </c>
      <c r="H193" s="0" t="n">
        <v>1</v>
      </c>
      <c r="I193" s="0" t="n">
        <v>4243.77</v>
      </c>
      <c r="J193" s="0" t="n">
        <v>3109.81</v>
      </c>
    </row>
    <row r="194" customFormat="false" ht="15" hidden="false" customHeight="false" outlineLevel="0" collapsed="false">
      <c r="A194" s="0" t="s">
        <v>42</v>
      </c>
      <c r="B194" s="0" t="s">
        <v>11</v>
      </c>
      <c r="C194" s="0" t="n">
        <v>5201</v>
      </c>
      <c r="D194" s="0" t="n">
        <v>580</v>
      </c>
      <c r="E194" s="0" t="n">
        <v>208</v>
      </c>
      <c r="F194" s="0" t="n">
        <v>117</v>
      </c>
      <c r="G194" s="0" t="n">
        <v>96</v>
      </c>
      <c r="H194" s="0" t="n">
        <v>37</v>
      </c>
      <c r="I194" s="0" t="n">
        <v>192082.88</v>
      </c>
      <c r="J194" s="0" t="n">
        <v>1537.13</v>
      </c>
    </row>
    <row r="195" customFormat="false" ht="15" hidden="false" customHeight="false" outlineLevel="0" collapsed="false">
      <c r="A195" s="0" t="s">
        <v>42</v>
      </c>
      <c r="B195" s="0" t="s">
        <v>12</v>
      </c>
      <c r="C195" s="0" t="n">
        <v>16621</v>
      </c>
      <c r="D195" s="0" t="n">
        <v>369</v>
      </c>
      <c r="E195" s="0" t="n">
        <v>85</v>
      </c>
      <c r="F195" s="0" t="n">
        <v>41</v>
      </c>
      <c r="G195" s="0" t="n">
        <v>26</v>
      </c>
      <c r="H195" s="0" t="n">
        <v>6</v>
      </c>
      <c r="I195" s="0" t="n">
        <v>31219.34</v>
      </c>
      <c r="J195" s="0" t="n">
        <v>5409.47</v>
      </c>
    </row>
    <row r="196" customFormat="false" ht="15" hidden="false" customHeight="false" outlineLevel="0" collapsed="false">
      <c r="A196" s="0" t="s">
        <v>42</v>
      </c>
      <c r="B196" s="0" t="s">
        <v>13</v>
      </c>
      <c r="C196" s="0" t="n">
        <v>5789</v>
      </c>
      <c r="D196" s="0" t="n">
        <v>291</v>
      </c>
      <c r="E196" s="0" t="n">
        <v>63</v>
      </c>
      <c r="F196" s="0" t="n">
        <v>36</v>
      </c>
      <c r="G196" s="0" t="n">
        <v>29</v>
      </c>
      <c r="H196" s="0" t="n">
        <v>7</v>
      </c>
      <c r="I196" s="0" t="n">
        <v>40387.82</v>
      </c>
      <c r="J196" s="0" t="n">
        <v>5724.88</v>
      </c>
    </row>
    <row r="197" customFormat="false" ht="15" hidden="false" customHeight="false" outlineLevel="0" collapsed="false">
      <c r="A197" s="0" t="s">
        <v>42</v>
      </c>
      <c r="B197" s="0" t="s">
        <v>14</v>
      </c>
      <c r="C197" s="0" t="n">
        <v>13609</v>
      </c>
      <c r="D197" s="0" t="n">
        <v>355</v>
      </c>
      <c r="E197" s="0" t="n">
        <v>53</v>
      </c>
      <c r="F197" s="0" t="n">
        <v>21</v>
      </c>
      <c r="G197" s="0" t="n">
        <v>14</v>
      </c>
      <c r="H197" s="0" t="n">
        <v>3</v>
      </c>
      <c r="I197" s="0" t="n">
        <v>16800.14</v>
      </c>
      <c r="J197" s="0" t="n">
        <v>4572.06</v>
      </c>
    </row>
    <row r="198" customFormat="false" ht="15" hidden="false" customHeight="false" outlineLevel="0" collapsed="false">
      <c r="A198" s="0" t="s">
        <v>42</v>
      </c>
      <c r="B198" s="0" t="s">
        <v>15</v>
      </c>
      <c r="C198" s="0" t="n">
        <v>2901</v>
      </c>
      <c r="D198" s="0" t="n">
        <v>71</v>
      </c>
      <c r="E198" s="0" t="n">
        <v>18</v>
      </c>
      <c r="F198" s="0" t="n">
        <v>11</v>
      </c>
      <c r="G198" s="0" t="n">
        <v>9</v>
      </c>
      <c r="H198" s="0" t="n">
        <v>3</v>
      </c>
      <c r="I198" s="0" t="n">
        <v>31433.03</v>
      </c>
      <c r="J198" s="0" t="n">
        <v>3077.92</v>
      </c>
    </row>
    <row r="199" customFormat="false" ht="15" hidden="false" customHeight="false" outlineLevel="0" collapsed="false">
      <c r="A199" s="0" t="s">
        <v>42</v>
      </c>
      <c r="B199" s="0" t="s">
        <v>16</v>
      </c>
      <c r="C199" s="0" t="n">
        <v>5280</v>
      </c>
      <c r="D199" s="0" t="n">
        <v>346</v>
      </c>
      <c r="E199" s="0" t="n">
        <v>86</v>
      </c>
      <c r="F199" s="0" t="n">
        <v>47</v>
      </c>
      <c r="G199" s="0" t="n">
        <v>33</v>
      </c>
      <c r="H199" s="0" t="n">
        <v>12</v>
      </c>
      <c r="I199" s="0" t="n">
        <v>89883.61</v>
      </c>
      <c r="J199" s="0" t="n">
        <v>757.38</v>
      </c>
    </row>
    <row r="200" customFormat="false" ht="15" hidden="false" customHeight="false" outlineLevel="0" collapsed="false">
      <c r="A200" s="0" t="s">
        <v>42</v>
      </c>
      <c r="B200" s="0" t="s">
        <v>17</v>
      </c>
      <c r="C200" s="0" t="n">
        <v>3368</v>
      </c>
      <c r="D200" s="0" t="n">
        <v>382</v>
      </c>
      <c r="E200" s="0" t="n">
        <v>179</v>
      </c>
      <c r="F200" s="0" t="n">
        <v>123</v>
      </c>
      <c r="G200" s="0" t="n">
        <v>101</v>
      </c>
      <c r="H200" s="0" t="n">
        <v>47</v>
      </c>
      <c r="I200" s="0" t="n">
        <v>468767.1</v>
      </c>
      <c r="J200" s="0" t="n">
        <v>911.02</v>
      </c>
    </row>
    <row r="201" customFormat="false" ht="15" hidden="false" customHeight="false" outlineLevel="0" collapsed="false">
      <c r="A201" s="0" t="s">
        <v>42</v>
      </c>
      <c r="B201" s="0" t="s">
        <v>18</v>
      </c>
      <c r="C201" s="0" t="n">
        <v>5013</v>
      </c>
      <c r="D201" s="0" t="n">
        <v>60</v>
      </c>
      <c r="E201" s="0" t="n">
        <v>12</v>
      </c>
      <c r="F201" s="0" t="n">
        <v>5</v>
      </c>
      <c r="G201" s="0" t="n">
        <v>3</v>
      </c>
      <c r="H201" s="0" t="n">
        <v>0</v>
      </c>
      <c r="I201" s="0" t="n">
        <v>0</v>
      </c>
      <c r="J201" s="0" t="n">
        <v>651.39</v>
      </c>
    </row>
    <row r="202" customFormat="false" ht="15" hidden="false" customHeight="false" outlineLevel="0" collapsed="false">
      <c r="A202" s="0" t="s">
        <v>43</v>
      </c>
      <c r="B202" s="0" t="s">
        <v>11</v>
      </c>
      <c r="C202" s="0" t="n">
        <v>5375</v>
      </c>
      <c r="D202" s="0" t="n">
        <v>729</v>
      </c>
      <c r="E202" s="0" t="n">
        <v>286</v>
      </c>
      <c r="F202" s="0" t="n">
        <v>164</v>
      </c>
      <c r="G202" s="0" t="n">
        <v>129</v>
      </c>
      <c r="H202" s="0" t="n">
        <v>40</v>
      </c>
      <c r="I202" s="0" t="n">
        <v>274160.08</v>
      </c>
      <c r="J202" s="0" t="n">
        <v>3628.56</v>
      </c>
    </row>
    <row r="203" customFormat="false" ht="15" hidden="false" customHeight="false" outlineLevel="0" collapsed="false">
      <c r="A203" s="0" t="s">
        <v>43</v>
      </c>
      <c r="B203" s="0" t="s">
        <v>12</v>
      </c>
      <c r="C203" s="0" t="n">
        <v>9183</v>
      </c>
      <c r="D203" s="0" t="n">
        <v>212</v>
      </c>
      <c r="E203" s="0" t="n">
        <v>50</v>
      </c>
      <c r="F203" s="0" t="n">
        <v>24</v>
      </c>
      <c r="G203" s="0" t="n">
        <v>17</v>
      </c>
      <c r="H203" s="0" t="n">
        <v>3</v>
      </c>
      <c r="I203" s="0" t="n">
        <v>16016.92</v>
      </c>
      <c r="J203" s="0" t="n">
        <v>2190.17</v>
      </c>
    </row>
    <row r="204" customFormat="false" ht="15" hidden="false" customHeight="false" outlineLevel="0" collapsed="false">
      <c r="A204" s="0" t="s">
        <v>43</v>
      </c>
      <c r="B204" s="0" t="s">
        <v>13</v>
      </c>
      <c r="C204" s="0" t="n">
        <v>5880</v>
      </c>
      <c r="D204" s="0" t="n">
        <v>233</v>
      </c>
      <c r="E204" s="0" t="n">
        <v>51</v>
      </c>
      <c r="F204" s="0" t="n">
        <v>28</v>
      </c>
      <c r="G204" s="0" t="n">
        <v>19</v>
      </c>
      <c r="H204" s="0" t="n">
        <v>5</v>
      </c>
      <c r="I204" s="0" t="n">
        <v>37005.35</v>
      </c>
      <c r="J204" s="0" t="n">
        <v>3419.54</v>
      </c>
    </row>
    <row r="205" customFormat="false" ht="15" hidden="false" customHeight="false" outlineLevel="0" collapsed="false">
      <c r="A205" s="0" t="s">
        <v>43</v>
      </c>
      <c r="B205" s="0" t="s">
        <v>14</v>
      </c>
      <c r="C205" s="0" t="n">
        <v>15245</v>
      </c>
      <c r="D205" s="0" t="n">
        <v>344</v>
      </c>
      <c r="E205" s="0" t="n">
        <v>61</v>
      </c>
      <c r="F205" s="0" t="n">
        <v>29</v>
      </c>
      <c r="G205" s="0" t="n">
        <v>19</v>
      </c>
      <c r="H205" s="0" t="n">
        <v>3</v>
      </c>
      <c r="I205" s="0" t="n">
        <v>17145.75</v>
      </c>
      <c r="J205" s="0" t="n">
        <v>3762.01</v>
      </c>
    </row>
    <row r="206" customFormat="false" ht="15" hidden="false" customHeight="false" outlineLevel="0" collapsed="false">
      <c r="A206" s="0" t="s">
        <v>43</v>
      </c>
      <c r="B206" s="0" t="s">
        <v>15</v>
      </c>
      <c r="C206" s="0" t="n">
        <v>2296</v>
      </c>
      <c r="D206" s="0" t="n">
        <v>77</v>
      </c>
      <c r="E206" s="0" t="n">
        <v>15</v>
      </c>
      <c r="F206" s="0" t="n">
        <v>10</v>
      </c>
      <c r="G206" s="0" t="n">
        <v>7</v>
      </c>
      <c r="H206" s="0" t="n">
        <v>2</v>
      </c>
      <c r="I206" s="0" t="n">
        <v>23475.72</v>
      </c>
      <c r="J206" s="0" t="n">
        <v>3474.49</v>
      </c>
    </row>
    <row r="207" customFormat="false" ht="15" hidden="false" customHeight="false" outlineLevel="0" collapsed="false">
      <c r="A207" s="0" t="s">
        <v>43</v>
      </c>
      <c r="B207" s="0" t="s">
        <v>16</v>
      </c>
      <c r="C207" s="0" t="n">
        <v>9230</v>
      </c>
      <c r="D207" s="0" t="n">
        <v>680</v>
      </c>
      <c r="E207" s="0" t="n">
        <v>164</v>
      </c>
      <c r="F207" s="0" t="n">
        <v>92</v>
      </c>
      <c r="G207" s="0" t="n">
        <v>63</v>
      </c>
      <c r="H207" s="0" t="n">
        <v>26</v>
      </c>
      <c r="I207" s="0" t="n">
        <v>220433.28</v>
      </c>
      <c r="J207" s="0" t="n">
        <v>853.69</v>
      </c>
    </row>
    <row r="208" customFormat="false" ht="15" hidden="false" customHeight="false" outlineLevel="0" collapsed="false">
      <c r="A208" s="0" t="s">
        <v>43</v>
      </c>
      <c r="B208" s="0" t="s">
        <v>17</v>
      </c>
      <c r="C208" s="0" t="n">
        <v>2844</v>
      </c>
      <c r="D208" s="0" t="n">
        <v>485</v>
      </c>
      <c r="E208" s="0" t="n">
        <v>195</v>
      </c>
      <c r="F208" s="0" t="n">
        <v>132</v>
      </c>
      <c r="G208" s="0" t="n">
        <v>106</v>
      </c>
      <c r="H208" s="0" t="n">
        <v>46</v>
      </c>
      <c r="I208" s="0" t="n">
        <v>451300.18</v>
      </c>
      <c r="J208" s="0" t="n">
        <v>570.01</v>
      </c>
    </row>
    <row r="209" customFormat="false" ht="15" hidden="false" customHeight="false" outlineLevel="0" collapsed="false">
      <c r="A209" s="0" t="s">
        <v>43</v>
      </c>
      <c r="B209" s="0" t="s">
        <v>18</v>
      </c>
      <c r="C209" s="0" t="n">
        <v>7545</v>
      </c>
      <c r="D209" s="0" t="n">
        <v>121</v>
      </c>
      <c r="E209" s="0" t="n">
        <v>21</v>
      </c>
      <c r="F209" s="0" t="n">
        <v>8</v>
      </c>
      <c r="G209" s="0" t="n">
        <v>5</v>
      </c>
      <c r="H209" s="0" t="n">
        <v>1</v>
      </c>
      <c r="I209" s="0" t="n">
        <v>4993.93</v>
      </c>
      <c r="J209" s="0" t="n">
        <v>2322.46</v>
      </c>
    </row>
    <row r="210" customFormat="false" ht="15" hidden="false" customHeight="false" outlineLevel="0" collapsed="false">
      <c r="A210" s="0" t="s">
        <v>44</v>
      </c>
      <c r="B210" s="0" t="s">
        <v>11</v>
      </c>
      <c r="C210" s="0" t="n">
        <v>3129</v>
      </c>
      <c r="D210" s="0" t="n">
        <v>279</v>
      </c>
      <c r="E210" s="0" t="n">
        <v>110</v>
      </c>
      <c r="F210" s="0" t="n">
        <v>66</v>
      </c>
      <c r="G210" s="0" t="n">
        <v>55</v>
      </c>
      <c r="H210" s="0" t="n">
        <v>18</v>
      </c>
      <c r="I210" s="0" t="n">
        <v>108221.11</v>
      </c>
      <c r="J210" s="0" t="n">
        <v>818.99</v>
      </c>
    </row>
    <row r="211" customFormat="false" ht="15" hidden="false" customHeight="false" outlineLevel="0" collapsed="false">
      <c r="A211" s="0" t="s">
        <v>44</v>
      </c>
      <c r="B211" s="0" t="s">
        <v>12</v>
      </c>
      <c r="C211" s="0" t="n">
        <v>18416</v>
      </c>
      <c r="D211" s="0" t="n">
        <v>498</v>
      </c>
      <c r="E211" s="0" t="n">
        <v>114</v>
      </c>
      <c r="F211" s="0" t="n">
        <v>50</v>
      </c>
      <c r="G211" s="0" t="n">
        <v>33</v>
      </c>
      <c r="H211" s="0" t="n">
        <v>7</v>
      </c>
      <c r="I211" s="0" t="n">
        <v>37729.32</v>
      </c>
      <c r="J211" s="0" t="n">
        <v>4588.91</v>
      </c>
    </row>
    <row r="212" customFormat="false" ht="15" hidden="false" customHeight="false" outlineLevel="0" collapsed="false">
      <c r="A212" s="0" t="s">
        <v>44</v>
      </c>
      <c r="B212" s="0" t="s">
        <v>13</v>
      </c>
      <c r="C212" s="0" t="n">
        <v>14921</v>
      </c>
      <c r="D212" s="0" t="n">
        <v>828</v>
      </c>
      <c r="E212" s="0" t="n">
        <v>182</v>
      </c>
      <c r="F212" s="0" t="n">
        <v>116</v>
      </c>
      <c r="G212" s="0" t="n">
        <v>83</v>
      </c>
      <c r="H212" s="0" t="n">
        <v>27</v>
      </c>
      <c r="I212" s="0" t="n">
        <v>206115.92</v>
      </c>
      <c r="J212" s="0" t="n">
        <v>14743.56</v>
      </c>
    </row>
    <row r="213" customFormat="false" ht="15" hidden="false" customHeight="false" outlineLevel="0" collapsed="false">
      <c r="A213" s="0" t="s">
        <v>44</v>
      </c>
      <c r="B213" s="0" t="s">
        <v>14</v>
      </c>
      <c r="C213" s="0" t="n">
        <v>10807</v>
      </c>
      <c r="D213" s="0" t="n">
        <v>298</v>
      </c>
      <c r="E213" s="0" t="n">
        <v>55</v>
      </c>
      <c r="F213" s="0" t="n">
        <v>27</v>
      </c>
      <c r="G213" s="0" t="n">
        <v>16</v>
      </c>
      <c r="H213" s="0" t="n">
        <v>4</v>
      </c>
      <c r="I213" s="0" t="n">
        <v>19096.5</v>
      </c>
      <c r="J213" s="0" t="n">
        <v>4010.87</v>
      </c>
    </row>
    <row r="214" customFormat="false" ht="15" hidden="false" customHeight="false" outlineLevel="0" collapsed="false">
      <c r="A214" s="0" t="s">
        <v>44</v>
      </c>
      <c r="B214" s="0" t="s">
        <v>15</v>
      </c>
      <c r="C214" s="0" t="n">
        <v>4425</v>
      </c>
      <c r="D214" s="0" t="n">
        <v>156</v>
      </c>
      <c r="E214" s="0" t="n">
        <v>30</v>
      </c>
      <c r="F214" s="0" t="n">
        <v>20</v>
      </c>
      <c r="G214" s="0" t="n">
        <v>15</v>
      </c>
      <c r="H214" s="0" t="n">
        <v>4</v>
      </c>
      <c r="I214" s="0" t="n">
        <v>41363.45</v>
      </c>
      <c r="J214" s="0" t="n">
        <v>5826.71</v>
      </c>
    </row>
    <row r="215" customFormat="false" ht="15" hidden="false" customHeight="false" outlineLevel="0" collapsed="false">
      <c r="A215" s="0" t="s">
        <v>44</v>
      </c>
      <c r="B215" s="0" t="s">
        <v>16</v>
      </c>
      <c r="C215" s="0" t="n">
        <v>9955</v>
      </c>
      <c r="D215" s="0" t="n">
        <v>440</v>
      </c>
      <c r="E215" s="0" t="n">
        <v>110</v>
      </c>
      <c r="F215" s="0" t="n">
        <v>57</v>
      </c>
      <c r="G215" s="0" t="n">
        <v>42</v>
      </c>
      <c r="H215" s="0" t="n">
        <v>17</v>
      </c>
      <c r="I215" s="0" t="n">
        <v>105128.83</v>
      </c>
      <c r="J215" s="0" t="n">
        <v>573.78</v>
      </c>
    </row>
    <row r="216" customFormat="false" ht="15" hidden="false" customHeight="false" outlineLevel="0" collapsed="false">
      <c r="A216" s="0" t="s">
        <v>44</v>
      </c>
      <c r="B216" s="0" t="s">
        <v>17</v>
      </c>
      <c r="C216" s="0" t="n">
        <v>3342</v>
      </c>
      <c r="D216" s="0" t="n">
        <v>487</v>
      </c>
      <c r="E216" s="0" t="n">
        <v>197</v>
      </c>
      <c r="F216" s="0" t="n">
        <v>147</v>
      </c>
      <c r="G216" s="0" t="n">
        <v>115</v>
      </c>
      <c r="H216" s="0" t="n">
        <v>53</v>
      </c>
      <c r="I216" s="0" t="n">
        <v>409029.64</v>
      </c>
      <c r="J216" s="0" t="n">
        <v>1445.1</v>
      </c>
    </row>
    <row r="217" customFormat="false" ht="15" hidden="false" customHeight="false" outlineLevel="0" collapsed="false">
      <c r="A217" s="0" t="s">
        <v>44</v>
      </c>
      <c r="B217" s="0" t="s">
        <v>18</v>
      </c>
      <c r="C217" s="0" t="n">
        <v>5995</v>
      </c>
      <c r="D217" s="0" t="n">
        <v>74</v>
      </c>
      <c r="E217" s="0" t="n">
        <v>12</v>
      </c>
      <c r="F217" s="0" t="n">
        <v>4</v>
      </c>
      <c r="G217" s="0" t="n">
        <v>2</v>
      </c>
      <c r="H217" s="0" t="n">
        <v>0</v>
      </c>
      <c r="I217" s="0" t="n">
        <v>0</v>
      </c>
      <c r="J217" s="0" t="n">
        <v>1116.97</v>
      </c>
    </row>
    <row r="218" customFormat="false" ht="15" hidden="false" customHeight="false" outlineLevel="0" collapsed="false">
      <c r="A218" s="0" t="s">
        <v>45</v>
      </c>
      <c r="B218" s="0" t="s">
        <v>11</v>
      </c>
      <c r="C218" s="0" t="n">
        <v>5271</v>
      </c>
      <c r="D218" s="0" t="n">
        <v>733</v>
      </c>
      <c r="E218" s="0" t="n">
        <v>227</v>
      </c>
      <c r="F218" s="0" t="n">
        <v>135</v>
      </c>
      <c r="G218" s="0" t="n">
        <v>103</v>
      </c>
      <c r="H218" s="0" t="n">
        <v>34</v>
      </c>
      <c r="I218" s="0" t="n">
        <v>202369.23</v>
      </c>
      <c r="J218" s="0" t="n">
        <v>3087.45</v>
      </c>
    </row>
    <row r="219" customFormat="false" ht="15" hidden="false" customHeight="false" outlineLevel="0" collapsed="false">
      <c r="A219" s="0" t="s">
        <v>45</v>
      </c>
      <c r="B219" s="0" t="s">
        <v>12</v>
      </c>
      <c r="C219" s="0" t="n">
        <v>13397</v>
      </c>
      <c r="D219" s="0" t="n">
        <v>240</v>
      </c>
      <c r="E219" s="0" t="n">
        <v>44</v>
      </c>
      <c r="F219" s="0" t="n">
        <v>20</v>
      </c>
      <c r="G219" s="0" t="n">
        <v>15</v>
      </c>
      <c r="H219" s="0" t="n">
        <v>4</v>
      </c>
      <c r="I219" s="0" t="n">
        <v>16088.25</v>
      </c>
      <c r="J219" s="0" t="n">
        <v>3212.43</v>
      </c>
    </row>
    <row r="220" customFormat="false" ht="15" hidden="false" customHeight="false" outlineLevel="0" collapsed="false">
      <c r="A220" s="0" t="s">
        <v>45</v>
      </c>
      <c r="B220" s="0" t="s">
        <v>13</v>
      </c>
      <c r="C220" s="0" t="n">
        <v>13139</v>
      </c>
      <c r="D220" s="0" t="n">
        <v>636</v>
      </c>
      <c r="E220" s="0" t="n">
        <v>146</v>
      </c>
      <c r="F220" s="0" t="n">
        <v>86</v>
      </c>
      <c r="G220" s="0" t="n">
        <v>66</v>
      </c>
      <c r="H220" s="0" t="n">
        <v>19</v>
      </c>
      <c r="I220" s="0" t="n">
        <v>145536.44</v>
      </c>
      <c r="J220" s="0" t="n">
        <v>9735.32</v>
      </c>
    </row>
    <row r="221" customFormat="false" ht="15" hidden="false" customHeight="false" outlineLevel="0" collapsed="false">
      <c r="A221" s="0" t="s">
        <v>45</v>
      </c>
      <c r="B221" s="0" t="s">
        <v>14</v>
      </c>
      <c r="C221" s="0" t="n">
        <v>11577</v>
      </c>
      <c r="D221" s="0" t="n">
        <v>228</v>
      </c>
      <c r="E221" s="0" t="n">
        <v>30</v>
      </c>
      <c r="F221" s="0" t="n">
        <v>12</v>
      </c>
      <c r="G221" s="0" t="n">
        <v>8</v>
      </c>
      <c r="H221" s="0" t="n">
        <v>1</v>
      </c>
      <c r="I221" s="0" t="n">
        <v>4230.4</v>
      </c>
      <c r="J221" s="0" t="n">
        <v>2450.35</v>
      </c>
    </row>
    <row r="222" customFormat="false" ht="15" hidden="false" customHeight="false" outlineLevel="0" collapsed="false">
      <c r="A222" s="0" t="s">
        <v>45</v>
      </c>
      <c r="B222" s="0" t="s">
        <v>15</v>
      </c>
      <c r="C222" s="0" t="n">
        <v>2048</v>
      </c>
      <c r="D222" s="0" t="n">
        <v>50</v>
      </c>
      <c r="E222" s="0" t="n">
        <v>13</v>
      </c>
      <c r="F222" s="0" t="n">
        <v>9</v>
      </c>
      <c r="G222" s="0" t="n">
        <v>7</v>
      </c>
      <c r="H222" s="0" t="n">
        <v>2</v>
      </c>
      <c r="I222" s="0" t="n">
        <v>25479.59</v>
      </c>
      <c r="J222" s="0" t="n">
        <v>1609.74</v>
      </c>
    </row>
    <row r="223" customFormat="false" ht="15" hidden="false" customHeight="false" outlineLevel="0" collapsed="false">
      <c r="A223" s="0" t="s">
        <v>45</v>
      </c>
      <c r="B223" s="0" t="s">
        <v>16</v>
      </c>
      <c r="C223" s="0" t="n">
        <v>9382</v>
      </c>
      <c r="D223" s="0" t="n">
        <v>523</v>
      </c>
      <c r="E223" s="0" t="n">
        <v>123</v>
      </c>
      <c r="F223" s="0" t="n">
        <v>71</v>
      </c>
      <c r="G223" s="0" t="n">
        <v>55</v>
      </c>
      <c r="H223" s="0" t="n">
        <v>24</v>
      </c>
      <c r="I223" s="0" t="n">
        <v>166709.3</v>
      </c>
      <c r="J223" s="0" t="n">
        <v>1346.1</v>
      </c>
    </row>
    <row r="224" customFormat="false" ht="15" hidden="false" customHeight="false" outlineLevel="0" collapsed="false">
      <c r="A224" s="0" t="s">
        <v>45</v>
      </c>
      <c r="B224" s="0" t="s">
        <v>17</v>
      </c>
      <c r="C224" s="0" t="n">
        <v>3064</v>
      </c>
      <c r="D224" s="0" t="n">
        <v>440</v>
      </c>
      <c r="E224" s="0" t="n">
        <v>187</v>
      </c>
      <c r="F224" s="0" t="n">
        <v>137</v>
      </c>
      <c r="G224" s="0" t="n">
        <v>107</v>
      </c>
      <c r="H224" s="0" t="n">
        <v>52</v>
      </c>
      <c r="I224" s="0" t="n">
        <v>463403.43</v>
      </c>
      <c r="J224" s="0" t="n">
        <v>846.1</v>
      </c>
    </row>
    <row r="225" customFormat="false" ht="15" hidden="false" customHeight="false" outlineLevel="0" collapsed="false">
      <c r="A225" s="0" t="s">
        <v>45</v>
      </c>
      <c r="B225" s="0" t="s">
        <v>18</v>
      </c>
      <c r="C225" s="0" t="n">
        <v>9615</v>
      </c>
      <c r="D225" s="0" t="n">
        <v>268</v>
      </c>
      <c r="E225" s="0" t="n">
        <v>52</v>
      </c>
      <c r="F225" s="0" t="n">
        <v>22</v>
      </c>
      <c r="G225" s="0" t="n">
        <v>13</v>
      </c>
      <c r="H225" s="0" t="n">
        <v>2</v>
      </c>
      <c r="I225" s="0" t="n">
        <v>10949.74</v>
      </c>
      <c r="J225" s="0" t="n">
        <v>3082.45</v>
      </c>
    </row>
    <row r="226" customFormat="false" ht="15" hidden="false" customHeight="false" outlineLevel="0" collapsed="false">
      <c r="A226" s="0" t="s">
        <v>46</v>
      </c>
      <c r="B226" s="0" t="s">
        <v>11</v>
      </c>
      <c r="C226" s="0" t="n">
        <v>6219</v>
      </c>
      <c r="D226" s="0" t="n">
        <v>728</v>
      </c>
      <c r="E226" s="0" t="n">
        <v>221</v>
      </c>
      <c r="F226" s="0" t="n">
        <v>142</v>
      </c>
      <c r="G226" s="0" t="n">
        <v>117</v>
      </c>
      <c r="H226" s="0" t="n">
        <v>38</v>
      </c>
      <c r="I226" s="0" t="n">
        <v>235743</v>
      </c>
      <c r="J226" s="0" t="n">
        <v>3596.26</v>
      </c>
    </row>
    <row r="227" customFormat="false" ht="15" hidden="false" customHeight="false" outlineLevel="0" collapsed="false">
      <c r="A227" s="0" t="s">
        <v>46</v>
      </c>
      <c r="B227" s="0" t="s">
        <v>12</v>
      </c>
      <c r="C227" s="0" t="n">
        <v>19478</v>
      </c>
      <c r="D227" s="0" t="n">
        <v>507</v>
      </c>
      <c r="E227" s="0" t="n">
        <v>93</v>
      </c>
      <c r="F227" s="0" t="n">
        <v>41</v>
      </c>
      <c r="G227" s="0" t="n">
        <v>28</v>
      </c>
      <c r="H227" s="0" t="n">
        <v>7</v>
      </c>
      <c r="I227" s="0" t="n">
        <v>30592.74</v>
      </c>
      <c r="J227" s="0" t="n">
        <v>6403.2</v>
      </c>
    </row>
    <row r="228" customFormat="false" ht="15" hidden="false" customHeight="false" outlineLevel="0" collapsed="false">
      <c r="A228" s="0" t="s">
        <v>46</v>
      </c>
      <c r="B228" s="0" t="s">
        <v>13</v>
      </c>
      <c r="C228" s="0" t="n">
        <v>10122</v>
      </c>
      <c r="D228" s="0" t="n">
        <v>510</v>
      </c>
      <c r="E228" s="0" t="n">
        <v>104</v>
      </c>
      <c r="F228" s="0" t="n">
        <v>53</v>
      </c>
      <c r="G228" s="0" t="n">
        <v>42</v>
      </c>
      <c r="H228" s="0" t="n">
        <v>10</v>
      </c>
      <c r="I228" s="0" t="n">
        <v>50363.25</v>
      </c>
      <c r="J228" s="0" t="n">
        <v>7503.41</v>
      </c>
    </row>
    <row r="229" customFormat="false" ht="15" hidden="false" customHeight="false" outlineLevel="0" collapsed="false">
      <c r="A229" s="0" t="s">
        <v>46</v>
      </c>
      <c r="B229" s="0" t="s">
        <v>14</v>
      </c>
      <c r="C229" s="0" t="n">
        <v>8915</v>
      </c>
      <c r="D229" s="0" t="n">
        <v>121</v>
      </c>
      <c r="E229" s="0" t="n">
        <v>22</v>
      </c>
      <c r="F229" s="0" t="n">
        <v>10</v>
      </c>
      <c r="G229" s="0" t="n">
        <v>6</v>
      </c>
      <c r="H229" s="0" t="n">
        <v>1</v>
      </c>
      <c r="I229" s="0" t="n">
        <v>5735.72</v>
      </c>
      <c r="J229" s="0" t="n">
        <v>916.6</v>
      </c>
    </row>
    <row r="230" customFormat="false" ht="15" hidden="false" customHeight="false" outlineLevel="0" collapsed="false">
      <c r="A230" s="0" t="s">
        <v>46</v>
      </c>
      <c r="B230" s="0" t="s">
        <v>15</v>
      </c>
      <c r="C230" s="0" t="n">
        <v>3181</v>
      </c>
      <c r="D230" s="0" t="n">
        <v>112</v>
      </c>
      <c r="E230" s="0" t="n">
        <v>27</v>
      </c>
      <c r="F230" s="0" t="n">
        <v>17</v>
      </c>
      <c r="G230" s="0" t="n">
        <v>12</v>
      </c>
      <c r="H230" s="0" t="n">
        <v>3</v>
      </c>
      <c r="I230" s="0" t="n">
        <v>41619.51</v>
      </c>
      <c r="J230" s="0" t="n">
        <v>4737.63</v>
      </c>
    </row>
    <row r="231" customFormat="false" ht="15" hidden="false" customHeight="false" outlineLevel="0" collapsed="false">
      <c r="A231" s="0" t="s">
        <v>46</v>
      </c>
      <c r="B231" s="0" t="s">
        <v>16</v>
      </c>
      <c r="C231" s="0" t="n">
        <v>11241</v>
      </c>
      <c r="D231" s="0" t="n">
        <v>786</v>
      </c>
      <c r="E231" s="0" t="n">
        <v>208</v>
      </c>
      <c r="F231" s="0" t="n">
        <v>117</v>
      </c>
      <c r="G231" s="0" t="n">
        <v>81</v>
      </c>
      <c r="H231" s="0" t="n">
        <v>31</v>
      </c>
      <c r="I231" s="0" t="n">
        <v>206889.25</v>
      </c>
      <c r="J231" s="0" t="n">
        <v>2244.95</v>
      </c>
    </row>
    <row r="232" customFormat="false" ht="15" hidden="false" customHeight="false" outlineLevel="0" collapsed="false">
      <c r="A232" s="0" t="s">
        <v>46</v>
      </c>
      <c r="B232" s="0" t="s">
        <v>17</v>
      </c>
      <c r="C232" s="0" t="n">
        <v>2116</v>
      </c>
      <c r="D232" s="0" t="n">
        <v>303</v>
      </c>
      <c r="E232" s="0" t="n">
        <v>134</v>
      </c>
      <c r="F232" s="0" t="n">
        <v>95</v>
      </c>
      <c r="G232" s="0" t="n">
        <v>83</v>
      </c>
      <c r="H232" s="0" t="n">
        <v>35</v>
      </c>
      <c r="I232" s="0" t="n">
        <v>265734.4</v>
      </c>
      <c r="J232" s="0" t="n">
        <v>376.63</v>
      </c>
    </row>
    <row r="233" customFormat="false" ht="15" hidden="false" customHeight="false" outlineLevel="0" collapsed="false">
      <c r="A233" s="0" t="s">
        <v>46</v>
      </c>
      <c r="B233" s="0" t="s">
        <v>18</v>
      </c>
      <c r="C233" s="0" t="n">
        <v>11208</v>
      </c>
      <c r="D233" s="0" t="n">
        <v>256</v>
      </c>
      <c r="E233" s="0" t="n">
        <v>43</v>
      </c>
      <c r="F233" s="0" t="n">
        <v>20</v>
      </c>
      <c r="G233" s="0" t="n">
        <v>14</v>
      </c>
      <c r="H233" s="0" t="n">
        <v>3</v>
      </c>
      <c r="I233" s="0" t="n">
        <v>13513.45</v>
      </c>
      <c r="J233" s="0" t="n">
        <v>4912.45</v>
      </c>
    </row>
    <row r="234" customFormat="false" ht="15" hidden="false" customHeight="false" outlineLevel="0" collapsed="false">
      <c r="A234" s="0" t="s">
        <v>47</v>
      </c>
      <c r="B234" s="0" t="s">
        <v>11</v>
      </c>
      <c r="C234" s="0" t="n">
        <v>6632</v>
      </c>
      <c r="D234" s="0" t="n">
        <v>990</v>
      </c>
      <c r="E234" s="0" t="n">
        <v>306</v>
      </c>
      <c r="F234" s="0" t="n">
        <v>180</v>
      </c>
      <c r="G234" s="0" t="n">
        <v>149</v>
      </c>
      <c r="H234" s="0" t="n">
        <v>47</v>
      </c>
      <c r="I234" s="0" t="n">
        <v>303908.7</v>
      </c>
      <c r="J234" s="0" t="n">
        <v>3628.6</v>
      </c>
    </row>
    <row r="235" customFormat="false" ht="15" hidden="false" customHeight="false" outlineLevel="0" collapsed="false">
      <c r="A235" s="0" t="s">
        <v>47</v>
      </c>
      <c r="B235" s="0" t="s">
        <v>12</v>
      </c>
      <c r="C235" s="0" t="n">
        <v>19816</v>
      </c>
      <c r="D235" s="0" t="n">
        <v>575</v>
      </c>
      <c r="E235" s="0" t="n">
        <v>88</v>
      </c>
      <c r="F235" s="0" t="n">
        <v>37</v>
      </c>
      <c r="G235" s="0" t="n">
        <v>24</v>
      </c>
      <c r="H235" s="0" t="n">
        <v>6</v>
      </c>
      <c r="I235" s="0" t="n">
        <v>26562.14</v>
      </c>
      <c r="J235" s="0" t="n">
        <v>7891.59</v>
      </c>
    </row>
    <row r="236" customFormat="false" ht="15" hidden="false" customHeight="false" outlineLevel="0" collapsed="false">
      <c r="A236" s="0" t="s">
        <v>47</v>
      </c>
      <c r="B236" s="0" t="s">
        <v>13</v>
      </c>
      <c r="C236" s="0" t="n">
        <v>12550</v>
      </c>
      <c r="D236" s="0" t="n">
        <v>549</v>
      </c>
      <c r="E236" s="0" t="n">
        <v>156</v>
      </c>
      <c r="F236" s="0" t="n">
        <v>95</v>
      </c>
      <c r="G236" s="0" t="n">
        <v>77</v>
      </c>
      <c r="H236" s="0" t="n">
        <v>24</v>
      </c>
      <c r="I236" s="0" t="n">
        <v>159241.94</v>
      </c>
      <c r="J236" s="0" t="n">
        <v>8660.08</v>
      </c>
    </row>
    <row r="237" customFormat="false" ht="15" hidden="false" customHeight="false" outlineLevel="0" collapsed="false">
      <c r="A237" s="0" t="s">
        <v>47</v>
      </c>
      <c r="B237" s="0" t="s">
        <v>14</v>
      </c>
      <c r="C237" s="0" t="n">
        <v>12564</v>
      </c>
      <c r="D237" s="0" t="n">
        <v>319</v>
      </c>
      <c r="E237" s="0" t="n">
        <v>62</v>
      </c>
      <c r="F237" s="0" t="n">
        <v>28</v>
      </c>
      <c r="G237" s="0" t="n">
        <v>19</v>
      </c>
      <c r="H237" s="0" t="n">
        <v>4</v>
      </c>
      <c r="I237" s="0" t="n">
        <v>19720.18</v>
      </c>
      <c r="J237" s="0" t="n">
        <v>2897.43</v>
      </c>
    </row>
    <row r="238" customFormat="false" ht="15" hidden="false" customHeight="false" outlineLevel="0" collapsed="false">
      <c r="A238" s="0" t="s">
        <v>47</v>
      </c>
      <c r="B238" s="0" t="s">
        <v>15</v>
      </c>
      <c r="C238" s="0" t="n">
        <v>4755</v>
      </c>
      <c r="D238" s="0" t="n">
        <v>178</v>
      </c>
      <c r="E238" s="0" t="n">
        <v>43</v>
      </c>
      <c r="F238" s="0" t="n">
        <v>30</v>
      </c>
      <c r="G238" s="0" t="n">
        <v>22</v>
      </c>
      <c r="H238" s="0" t="n">
        <v>7</v>
      </c>
      <c r="I238" s="0" t="n">
        <v>78633.76</v>
      </c>
      <c r="J238" s="0" t="n">
        <v>5373.22</v>
      </c>
    </row>
    <row r="239" customFormat="false" ht="15" hidden="false" customHeight="false" outlineLevel="0" collapsed="false">
      <c r="A239" s="0" t="s">
        <v>47</v>
      </c>
      <c r="B239" s="0" t="s">
        <v>16</v>
      </c>
      <c r="C239" s="0" t="n">
        <v>11543</v>
      </c>
      <c r="D239" s="0" t="n">
        <v>548</v>
      </c>
      <c r="E239" s="0" t="n">
        <v>125</v>
      </c>
      <c r="F239" s="0" t="n">
        <v>72</v>
      </c>
      <c r="G239" s="0" t="n">
        <v>53</v>
      </c>
      <c r="H239" s="0" t="n">
        <v>18</v>
      </c>
      <c r="I239" s="0" t="n">
        <v>109906.81</v>
      </c>
      <c r="J239" s="0" t="n">
        <v>1382.05</v>
      </c>
    </row>
    <row r="240" customFormat="false" ht="15" hidden="false" customHeight="false" outlineLevel="0" collapsed="false">
      <c r="A240" s="0" t="s">
        <v>47</v>
      </c>
      <c r="B240" s="0" t="s">
        <v>17</v>
      </c>
      <c r="C240" s="0" t="n">
        <v>3237</v>
      </c>
      <c r="D240" s="0" t="n">
        <v>389</v>
      </c>
      <c r="E240" s="0" t="n">
        <v>192</v>
      </c>
      <c r="F240" s="0" t="n">
        <v>131</v>
      </c>
      <c r="G240" s="0" t="n">
        <v>106</v>
      </c>
      <c r="H240" s="0" t="n">
        <v>43</v>
      </c>
      <c r="I240" s="0" t="n">
        <v>414087.95</v>
      </c>
      <c r="J240" s="0" t="n">
        <v>626.76</v>
      </c>
    </row>
    <row r="241" customFormat="false" ht="15" hidden="false" customHeight="false" outlineLevel="0" collapsed="false">
      <c r="A241" s="0" t="s">
        <v>47</v>
      </c>
      <c r="B241" s="0" t="s">
        <v>18</v>
      </c>
      <c r="C241" s="0" t="n">
        <v>11974</v>
      </c>
      <c r="D241" s="0" t="n">
        <v>207</v>
      </c>
      <c r="E241" s="0" t="n">
        <v>37</v>
      </c>
      <c r="F241" s="0" t="n">
        <v>16</v>
      </c>
      <c r="G241" s="0" t="n">
        <v>11</v>
      </c>
      <c r="H241" s="0" t="n">
        <v>2</v>
      </c>
      <c r="I241" s="0" t="n">
        <v>9650.49</v>
      </c>
      <c r="J241" s="0" t="n">
        <v>2880.46</v>
      </c>
    </row>
    <row r="242" customFormat="false" ht="15" hidden="false" customHeight="false" outlineLevel="0" collapsed="false">
      <c r="A242" s="0" t="s">
        <v>48</v>
      </c>
      <c r="B242" s="0" t="s">
        <v>11</v>
      </c>
      <c r="C242" s="0" t="n">
        <v>5991</v>
      </c>
      <c r="D242" s="0" t="n">
        <v>787</v>
      </c>
      <c r="E242" s="0" t="n">
        <v>314</v>
      </c>
      <c r="F242" s="0" t="n">
        <v>201</v>
      </c>
      <c r="G242" s="0" t="n">
        <v>163</v>
      </c>
      <c r="H242" s="0" t="n">
        <v>55</v>
      </c>
      <c r="I242" s="0" t="n">
        <v>361421.68</v>
      </c>
      <c r="J242" s="0" t="n">
        <v>3076.01</v>
      </c>
    </row>
    <row r="243" customFormat="false" ht="15" hidden="false" customHeight="false" outlineLevel="0" collapsed="false">
      <c r="A243" s="0" t="s">
        <v>48</v>
      </c>
      <c r="B243" s="0" t="s">
        <v>12</v>
      </c>
      <c r="C243" s="0" t="n">
        <v>15707</v>
      </c>
      <c r="D243" s="0" t="n">
        <v>250</v>
      </c>
      <c r="E243" s="0" t="n">
        <v>51</v>
      </c>
      <c r="F243" s="0" t="n">
        <v>24</v>
      </c>
      <c r="G243" s="0" t="n">
        <v>17</v>
      </c>
      <c r="H243" s="0" t="n">
        <v>4</v>
      </c>
      <c r="I243" s="0" t="n">
        <v>22439.91</v>
      </c>
      <c r="J243" s="0" t="n">
        <v>3183.82</v>
      </c>
    </row>
    <row r="244" customFormat="false" ht="15" hidden="false" customHeight="false" outlineLevel="0" collapsed="false">
      <c r="A244" s="0" t="s">
        <v>48</v>
      </c>
      <c r="B244" s="0" t="s">
        <v>13</v>
      </c>
      <c r="C244" s="0" t="n">
        <v>11956</v>
      </c>
      <c r="D244" s="0" t="n">
        <v>359</v>
      </c>
      <c r="E244" s="0" t="n">
        <v>94</v>
      </c>
      <c r="F244" s="0" t="n">
        <v>52</v>
      </c>
      <c r="G244" s="0" t="n">
        <v>42</v>
      </c>
      <c r="H244" s="0" t="n">
        <v>10</v>
      </c>
      <c r="I244" s="0" t="n">
        <v>64429.19</v>
      </c>
      <c r="J244" s="0" t="n">
        <v>7137.65</v>
      </c>
    </row>
    <row r="245" customFormat="false" ht="15" hidden="false" customHeight="false" outlineLevel="0" collapsed="false">
      <c r="A245" s="0" t="s">
        <v>48</v>
      </c>
      <c r="B245" s="0" t="s">
        <v>14</v>
      </c>
      <c r="C245" s="0" t="n">
        <v>9968</v>
      </c>
      <c r="D245" s="0" t="n">
        <v>251</v>
      </c>
      <c r="E245" s="0" t="n">
        <v>43</v>
      </c>
      <c r="F245" s="0" t="n">
        <v>16</v>
      </c>
      <c r="G245" s="0" t="n">
        <v>9</v>
      </c>
      <c r="H245" s="0" t="n">
        <v>1</v>
      </c>
      <c r="I245" s="0" t="n">
        <v>5215.36</v>
      </c>
      <c r="J245" s="0" t="n">
        <v>3136.06</v>
      </c>
    </row>
    <row r="246" customFormat="false" ht="15" hidden="false" customHeight="false" outlineLevel="0" collapsed="false">
      <c r="A246" s="0" t="s">
        <v>48</v>
      </c>
      <c r="B246" s="0" t="s">
        <v>15</v>
      </c>
      <c r="C246" s="0" t="n">
        <v>5154</v>
      </c>
      <c r="D246" s="0" t="n">
        <v>156</v>
      </c>
      <c r="E246" s="0" t="n">
        <v>34</v>
      </c>
      <c r="F246" s="0" t="n">
        <v>21</v>
      </c>
      <c r="G246" s="0" t="n">
        <v>16</v>
      </c>
      <c r="H246" s="0" t="n">
        <v>5</v>
      </c>
      <c r="I246" s="0" t="n">
        <v>55515.3</v>
      </c>
      <c r="J246" s="0" t="n">
        <v>4956.43</v>
      </c>
    </row>
    <row r="247" customFormat="false" ht="15" hidden="false" customHeight="false" outlineLevel="0" collapsed="false">
      <c r="A247" s="0" t="s">
        <v>48</v>
      </c>
      <c r="B247" s="0" t="s">
        <v>16</v>
      </c>
      <c r="C247" s="0" t="n">
        <v>7065</v>
      </c>
      <c r="D247" s="0" t="n">
        <v>398</v>
      </c>
      <c r="E247" s="0" t="n">
        <v>106</v>
      </c>
      <c r="F247" s="0" t="n">
        <v>57</v>
      </c>
      <c r="G247" s="0" t="n">
        <v>42</v>
      </c>
      <c r="H247" s="0" t="n">
        <v>17</v>
      </c>
      <c r="I247" s="0" t="n">
        <v>120474.01</v>
      </c>
      <c r="J247" s="0" t="n">
        <v>544.84</v>
      </c>
    </row>
    <row r="248" customFormat="false" ht="15" hidden="false" customHeight="false" outlineLevel="0" collapsed="false">
      <c r="A248" s="0" t="s">
        <v>48</v>
      </c>
      <c r="B248" s="0" t="s">
        <v>17</v>
      </c>
      <c r="C248" s="0" t="n">
        <v>2003</v>
      </c>
      <c r="D248" s="0" t="n">
        <v>205</v>
      </c>
      <c r="E248" s="0" t="n">
        <v>82</v>
      </c>
      <c r="F248" s="0" t="n">
        <v>60</v>
      </c>
      <c r="G248" s="0" t="n">
        <v>48</v>
      </c>
      <c r="H248" s="0" t="n">
        <v>21</v>
      </c>
      <c r="I248" s="0" t="n">
        <v>206262.79</v>
      </c>
      <c r="J248" s="0" t="n">
        <v>327.48</v>
      </c>
    </row>
    <row r="249" customFormat="false" ht="15" hidden="false" customHeight="false" outlineLevel="0" collapsed="false">
      <c r="A249" s="0" t="s">
        <v>48</v>
      </c>
      <c r="B249" s="0" t="s">
        <v>18</v>
      </c>
      <c r="C249" s="0" t="n">
        <v>6815</v>
      </c>
      <c r="D249" s="0" t="n">
        <v>126</v>
      </c>
      <c r="E249" s="0" t="n">
        <v>26</v>
      </c>
      <c r="F249" s="0" t="n">
        <v>12</v>
      </c>
      <c r="G249" s="0" t="n">
        <v>7</v>
      </c>
      <c r="H249" s="0" t="n">
        <v>1</v>
      </c>
      <c r="I249" s="0" t="n">
        <v>4965.94</v>
      </c>
      <c r="J249" s="0" t="n">
        <v>1837.32</v>
      </c>
    </row>
    <row r="250" customFormat="false" ht="15" hidden="false" customHeight="false" outlineLevel="0" collapsed="false">
      <c r="A250" s="0" t="s">
        <v>49</v>
      </c>
      <c r="B250" s="0" t="s">
        <v>11</v>
      </c>
      <c r="C250" s="0" t="n">
        <v>4026</v>
      </c>
      <c r="D250" s="0" t="n">
        <v>575</v>
      </c>
      <c r="E250" s="0" t="n">
        <v>173</v>
      </c>
      <c r="F250" s="0" t="n">
        <v>106</v>
      </c>
      <c r="G250" s="0" t="n">
        <v>89</v>
      </c>
      <c r="H250" s="0" t="n">
        <v>31</v>
      </c>
      <c r="I250" s="0" t="n">
        <v>158239.99</v>
      </c>
      <c r="J250" s="0" t="n">
        <v>2766.02</v>
      </c>
    </row>
    <row r="251" customFormat="false" ht="15" hidden="false" customHeight="false" outlineLevel="0" collapsed="false">
      <c r="A251" s="0" t="s">
        <v>49</v>
      </c>
      <c r="B251" s="0" t="s">
        <v>12</v>
      </c>
      <c r="C251" s="0" t="n">
        <v>13024</v>
      </c>
      <c r="D251" s="0" t="n">
        <v>221</v>
      </c>
      <c r="E251" s="0" t="n">
        <v>49</v>
      </c>
      <c r="F251" s="0" t="n">
        <v>24</v>
      </c>
      <c r="G251" s="0" t="n">
        <v>19</v>
      </c>
      <c r="H251" s="0" t="n">
        <v>3</v>
      </c>
      <c r="I251" s="0" t="n">
        <v>13693.12</v>
      </c>
      <c r="J251" s="0" t="n">
        <v>1856.26</v>
      </c>
    </row>
    <row r="252" customFormat="false" ht="15" hidden="false" customHeight="false" outlineLevel="0" collapsed="false">
      <c r="A252" s="0" t="s">
        <v>49</v>
      </c>
      <c r="B252" s="0" t="s">
        <v>13</v>
      </c>
      <c r="C252" s="0" t="n">
        <v>5384</v>
      </c>
      <c r="D252" s="0" t="n">
        <v>174</v>
      </c>
      <c r="E252" s="0" t="n">
        <v>47</v>
      </c>
      <c r="F252" s="0" t="n">
        <v>27</v>
      </c>
      <c r="G252" s="0" t="n">
        <v>20</v>
      </c>
      <c r="H252" s="0" t="n">
        <v>6</v>
      </c>
      <c r="I252" s="0" t="n">
        <v>32860.35</v>
      </c>
      <c r="J252" s="0" t="n">
        <v>3767.99</v>
      </c>
    </row>
    <row r="253" customFormat="false" ht="15" hidden="false" customHeight="false" outlineLevel="0" collapsed="false">
      <c r="A253" s="0" t="s">
        <v>49</v>
      </c>
      <c r="B253" s="0" t="s">
        <v>14</v>
      </c>
      <c r="C253" s="0" t="n">
        <v>8396</v>
      </c>
      <c r="D253" s="0" t="n">
        <v>133</v>
      </c>
      <c r="E253" s="0" t="n">
        <v>28</v>
      </c>
      <c r="F253" s="0" t="n">
        <v>11</v>
      </c>
      <c r="G253" s="0" t="n">
        <v>7</v>
      </c>
      <c r="H253" s="0" t="n">
        <v>1</v>
      </c>
      <c r="I253" s="0" t="n">
        <v>5353.42</v>
      </c>
      <c r="J253" s="0" t="n">
        <v>1349.71</v>
      </c>
    </row>
    <row r="254" customFormat="false" ht="15" hidden="false" customHeight="false" outlineLevel="0" collapsed="false">
      <c r="A254" s="0" t="s">
        <v>49</v>
      </c>
      <c r="B254" s="0" t="s">
        <v>15</v>
      </c>
      <c r="C254" s="0" t="n">
        <v>1922</v>
      </c>
      <c r="D254" s="0" t="n">
        <v>57</v>
      </c>
      <c r="E254" s="0" t="n">
        <v>10</v>
      </c>
      <c r="F254" s="0" t="n">
        <v>6</v>
      </c>
      <c r="G254" s="0" t="n">
        <v>5</v>
      </c>
      <c r="H254" s="0" t="n">
        <v>1</v>
      </c>
      <c r="I254" s="0" t="n">
        <v>12055.48</v>
      </c>
      <c r="J254" s="0" t="n">
        <v>2316.96</v>
      </c>
    </row>
    <row r="255" customFormat="false" ht="15" hidden="false" customHeight="false" outlineLevel="0" collapsed="false">
      <c r="A255" s="0" t="s">
        <v>49</v>
      </c>
      <c r="B255" s="0" t="s">
        <v>16</v>
      </c>
      <c r="C255" s="0" t="n">
        <v>8303</v>
      </c>
      <c r="D255" s="0" t="n">
        <v>418</v>
      </c>
      <c r="E255" s="0" t="n">
        <v>108</v>
      </c>
      <c r="F255" s="0" t="n">
        <v>64</v>
      </c>
      <c r="G255" s="0" t="n">
        <v>45</v>
      </c>
      <c r="H255" s="0" t="n">
        <v>18</v>
      </c>
      <c r="I255" s="0" t="n">
        <v>138527.83</v>
      </c>
      <c r="J255" s="0" t="n">
        <v>583.61</v>
      </c>
    </row>
    <row r="256" customFormat="false" ht="15" hidden="false" customHeight="false" outlineLevel="0" collapsed="false">
      <c r="A256" s="0" t="s">
        <v>49</v>
      </c>
      <c r="B256" s="0" t="s">
        <v>17</v>
      </c>
      <c r="C256" s="0" t="n">
        <v>2033</v>
      </c>
      <c r="D256" s="0" t="n">
        <v>400</v>
      </c>
      <c r="E256" s="0" t="n">
        <v>184</v>
      </c>
      <c r="F256" s="0" t="n">
        <v>126</v>
      </c>
      <c r="G256" s="0" t="n">
        <v>99</v>
      </c>
      <c r="H256" s="0" t="n">
        <v>41</v>
      </c>
      <c r="I256" s="0" t="n">
        <v>317868.9</v>
      </c>
      <c r="J256" s="0" t="n">
        <v>580.25</v>
      </c>
    </row>
    <row r="257" customFormat="false" ht="15" hidden="false" customHeight="false" outlineLevel="0" collapsed="false">
      <c r="A257" s="0" t="s">
        <v>49</v>
      </c>
      <c r="B257" s="0" t="s">
        <v>18</v>
      </c>
      <c r="C257" s="0" t="n">
        <v>9311</v>
      </c>
      <c r="D257" s="0" t="n">
        <v>197</v>
      </c>
      <c r="E257" s="0" t="n">
        <v>36</v>
      </c>
      <c r="F257" s="0" t="n">
        <v>13</v>
      </c>
      <c r="G257" s="0" t="n">
        <v>9</v>
      </c>
      <c r="H257" s="0" t="n">
        <v>2</v>
      </c>
      <c r="I257" s="0" t="n">
        <v>10831.34</v>
      </c>
      <c r="J257" s="0" t="n">
        <v>2103.31</v>
      </c>
    </row>
    <row r="258" customFormat="false" ht="15" hidden="false" customHeight="false" outlineLevel="0" collapsed="false">
      <c r="A258" s="0" t="s">
        <v>50</v>
      </c>
      <c r="B258" s="0" t="s">
        <v>11</v>
      </c>
      <c r="C258" s="0" t="n">
        <v>2665</v>
      </c>
      <c r="D258" s="0" t="n">
        <v>225</v>
      </c>
      <c r="E258" s="0" t="n">
        <v>77</v>
      </c>
      <c r="F258" s="0" t="n">
        <v>49</v>
      </c>
      <c r="G258" s="0" t="n">
        <v>39</v>
      </c>
      <c r="H258" s="0" t="n">
        <v>13</v>
      </c>
      <c r="I258" s="0" t="n">
        <v>82076.28</v>
      </c>
      <c r="J258" s="0" t="n">
        <v>521.19</v>
      </c>
    </row>
    <row r="259" customFormat="false" ht="15" hidden="false" customHeight="false" outlineLevel="0" collapsed="false">
      <c r="A259" s="0" t="s">
        <v>50</v>
      </c>
      <c r="B259" s="0" t="s">
        <v>12</v>
      </c>
      <c r="C259" s="0" t="n">
        <v>11515</v>
      </c>
      <c r="D259" s="0" t="n">
        <v>243</v>
      </c>
      <c r="E259" s="0" t="n">
        <v>52</v>
      </c>
      <c r="F259" s="0" t="n">
        <v>25</v>
      </c>
      <c r="G259" s="0" t="n">
        <v>16</v>
      </c>
      <c r="H259" s="0" t="n">
        <v>4</v>
      </c>
      <c r="I259" s="0" t="n">
        <v>19673.92</v>
      </c>
      <c r="J259" s="0" t="n">
        <v>3315.69</v>
      </c>
    </row>
    <row r="260" customFormat="false" ht="15" hidden="false" customHeight="false" outlineLevel="0" collapsed="false">
      <c r="A260" s="0" t="s">
        <v>50</v>
      </c>
      <c r="B260" s="0" t="s">
        <v>13</v>
      </c>
      <c r="C260" s="0" t="n">
        <v>8870</v>
      </c>
      <c r="D260" s="0" t="n">
        <v>287</v>
      </c>
      <c r="E260" s="0" t="n">
        <v>70</v>
      </c>
      <c r="F260" s="0" t="n">
        <v>40</v>
      </c>
      <c r="G260" s="0" t="n">
        <v>28</v>
      </c>
      <c r="H260" s="0" t="n">
        <v>9</v>
      </c>
      <c r="I260" s="0" t="n">
        <v>63063.6</v>
      </c>
      <c r="J260" s="0" t="n">
        <v>6457.43</v>
      </c>
    </row>
    <row r="261" customFormat="false" ht="15" hidden="false" customHeight="false" outlineLevel="0" collapsed="false">
      <c r="A261" s="0" t="s">
        <v>50</v>
      </c>
      <c r="B261" s="0" t="s">
        <v>14</v>
      </c>
      <c r="C261" s="0" t="n">
        <v>6435</v>
      </c>
      <c r="D261" s="0" t="n">
        <v>158</v>
      </c>
      <c r="E261" s="0" t="n">
        <v>23</v>
      </c>
      <c r="F261" s="0" t="n">
        <v>9</v>
      </c>
      <c r="G261" s="0" t="n">
        <v>5</v>
      </c>
      <c r="H261" s="0" t="n">
        <v>1</v>
      </c>
      <c r="I261" s="0" t="n">
        <v>4838.77</v>
      </c>
      <c r="J261" s="0" t="n">
        <v>1942.97</v>
      </c>
    </row>
    <row r="262" customFormat="false" ht="15" hidden="false" customHeight="false" outlineLevel="0" collapsed="false">
      <c r="A262" s="0" t="s">
        <v>50</v>
      </c>
      <c r="B262" s="0" t="s">
        <v>15</v>
      </c>
      <c r="C262" s="0" t="n">
        <v>2396</v>
      </c>
      <c r="D262" s="0" t="n">
        <v>89</v>
      </c>
      <c r="E262" s="0" t="n">
        <v>23</v>
      </c>
      <c r="F262" s="0" t="n">
        <v>16</v>
      </c>
      <c r="G262" s="0" t="n">
        <v>12</v>
      </c>
      <c r="H262" s="0" t="n">
        <v>4</v>
      </c>
      <c r="I262" s="0" t="n">
        <v>55440.25</v>
      </c>
      <c r="J262" s="0" t="n">
        <v>4423.28</v>
      </c>
    </row>
    <row r="263" customFormat="false" ht="15" hidden="false" customHeight="false" outlineLevel="0" collapsed="false">
      <c r="A263" s="0" t="s">
        <v>50</v>
      </c>
      <c r="B263" s="0" t="s">
        <v>16</v>
      </c>
      <c r="C263" s="0" t="n">
        <v>11389</v>
      </c>
      <c r="D263" s="0" t="n">
        <v>628</v>
      </c>
      <c r="E263" s="0" t="n">
        <v>164</v>
      </c>
      <c r="F263" s="0" t="n">
        <v>97</v>
      </c>
      <c r="G263" s="0" t="n">
        <v>68</v>
      </c>
      <c r="H263" s="0" t="n">
        <v>27</v>
      </c>
      <c r="I263" s="0" t="n">
        <v>226221.21</v>
      </c>
      <c r="J263" s="0" t="n">
        <v>988.65</v>
      </c>
    </row>
    <row r="264" customFormat="false" ht="15" hidden="false" customHeight="false" outlineLevel="0" collapsed="false">
      <c r="A264" s="0" t="s">
        <v>50</v>
      </c>
      <c r="B264" s="0" t="s">
        <v>17</v>
      </c>
      <c r="C264" s="0" t="n">
        <v>2322</v>
      </c>
      <c r="D264" s="0" t="n">
        <v>379</v>
      </c>
      <c r="E264" s="0" t="n">
        <v>181</v>
      </c>
      <c r="F264" s="0" t="n">
        <v>124</v>
      </c>
      <c r="G264" s="0" t="n">
        <v>108</v>
      </c>
      <c r="H264" s="0" t="n">
        <v>48</v>
      </c>
      <c r="I264" s="0" t="n">
        <v>436209.47</v>
      </c>
      <c r="J264" s="0" t="n">
        <v>498.73</v>
      </c>
    </row>
    <row r="265" customFormat="false" ht="15" hidden="false" customHeight="false" outlineLevel="0" collapsed="false">
      <c r="A265" s="0" t="s">
        <v>50</v>
      </c>
      <c r="B265" s="0" t="s">
        <v>18</v>
      </c>
      <c r="C265" s="0" t="n">
        <v>8969</v>
      </c>
      <c r="D265" s="0" t="n">
        <v>146</v>
      </c>
      <c r="E265" s="0" t="n">
        <v>30</v>
      </c>
      <c r="F265" s="0" t="n">
        <v>14</v>
      </c>
      <c r="G265" s="0" t="n">
        <v>8</v>
      </c>
      <c r="H265" s="0" t="n">
        <v>1</v>
      </c>
      <c r="I265" s="0" t="n">
        <v>4404.03</v>
      </c>
      <c r="J265" s="0" t="n">
        <v>1665.44</v>
      </c>
    </row>
    <row r="266" customFormat="false" ht="15" hidden="false" customHeight="false" outlineLevel="0" collapsed="false">
      <c r="A266" s="0" t="s">
        <v>51</v>
      </c>
      <c r="B266" s="0" t="s">
        <v>11</v>
      </c>
      <c r="C266" s="0" t="n">
        <v>5355</v>
      </c>
      <c r="D266" s="0" t="n">
        <v>736</v>
      </c>
      <c r="E266" s="0" t="n">
        <v>254</v>
      </c>
      <c r="F266" s="0" t="n">
        <v>148</v>
      </c>
      <c r="G266" s="0" t="n">
        <v>118</v>
      </c>
      <c r="H266" s="0" t="n">
        <v>45</v>
      </c>
      <c r="I266" s="0" t="n">
        <v>240638.54</v>
      </c>
      <c r="J266" s="0" t="n">
        <v>2212.14</v>
      </c>
    </row>
    <row r="267" customFormat="false" ht="15" hidden="false" customHeight="false" outlineLevel="0" collapsed="false">
      <c r="A267" s="0" t="s">
        <v>51</v>
      </c>
      <c r="B267" s="0" t="s">
        <v>12</v>
      </c>
      <c r="C267" s="0" t="n">
        <v>17643</v>
      </c>
      <c r="D267" s="0" t="n">
        <v>398</v>
      </c>
      <c r="E267" s="0" t="n">
        <v>98</v>
      </c>
      <c r="F267" s="0" t="n">
        <v>45</v>
      </c>
      <c r="G267" s="0" t="n">
        <v>35</v>
      </c>
      <c r="H267" s="0" t="n">
        <v>9</v>
      </c>
      <c r="I267" s="0" t="n">
        <v>38987.19</v>
      </c>
      <c r="J267" s="0" t="n">
        <v>4952.19</v>
      </c>
    </row>
    <row r="268" customFormat="false" ht="15" hidden="false" customHeight="false" outlineLevel="0" collapsed="false">
      <c r="A268" s="0" t="s">
        <v>51</v>
      </c>
      <c r="B268" s="0" t="s">
        <v>13</v>
      </c>
      <c r="C268" s="0" t="n">
        <v>6842</v>
      </c>
      <c r="D268" s="0" t="n">
        <v>388</v>
      </c>
      <c r="E268" s="0" t="n">
        <v>102</v>
      </c>
      <c r="F268" s="0" t="n">
        <v>53</v>
      </c>
      <c r="G268" s="0" t="n">
        <v>40</v>
      </c>
      <c r="H268" s="0" t="n">
        <v>12</v>
      </c>
      <c r="I268" s="0" t="n">
        <v>91766.99</v>
      </c>
      <c r="J268" s="0" t="n">
        <v>5755.84</v>
      </c>
    </row>
    <row r="269" customFormat="false" ht="15" hidden="false" customHeight="false" outlineLevel="0" collapsed="false">
      <c r="A269" s="0" t="s">
        <v>51</v>
      </c>
      <c r="B269" s="0" t="s">
        <v>14</v>
      </c>
      <c r="C269" s="0" t="n">
        <v>16701</v>
      </c>
      <c r="D269" s="0" t="n">
        <v>314</v>
      </c>
      <c r="E269" s="0" t="n">
        <v>45</v>
      </c>
      <c r="F269" s="0" t="n">
        <v>17</v>
      </c>
      <c r="G269" s="0" t="n">
        <v>11</v>
      </c>
      <c r="H269" s="0" t="n">
        <v>2</v>
      </c>
      <c r="I269" s="0" t="n">
        <v>11161.03</v>
      </c>
      <c r="J269" s="0" t="n">
        <v>3779.14</v>
      </c>
    </row>
    <row r="270" customFormat="false" ht="15" hidden="false" customHeight="false" outlineLevel="0" collapsed="false">
      <c r="A270" s="0" t="s">
        <v>51</v>
      </c>
      <c r="B270" s="0" t="s">
        <v>15</v>
      </c>
      <c r="C270" s="0" t="n">
        <v>2317</v>
      </c>
      <c r="D270" s="0" t="n">
        <v>80</v>
      </c>
      <c r="E270" s="0" t="n">
        <v>15</v>
      </c>
      <c r="F270" s="0" t="n">
        <v>10</v>
      </c>
      <c r="G270" s="0" t="n">
        <v>8</v>
      </c>
      <c r="H270" s="0" t="n">
        <v>2</v>
      </c>
      <c r="I270" s="0" t="n">
        <v>23143.5</v>
      </c>
      <c r="J270" s="0" t="n">
        <v>3536.39</v>
      </c>
    </row>
    <row r="271" customFormat="false" ht="15" hidden="false" customHeight="false" outlineLevel="0" collapsed="false">
      <c r="A271" s="0" t="s">
        <v>51</v>
      </c>
      <c r="B271" s="0" t="s">
        <v>16</v>
      </c>
      <c r="C271" s="0" t="n">
        <v>12408</v>
      </c>
      <c r="D271" s="0" t="n">
        <v>906</v>
      </c>
      <c r="E271" s="0" t="n">
        <v>188</v>
      </c>
      <c r="F271" s="0" t="n">
        <v>98</v>
      </c>
      <c r="G271" s="0" t="n">
        <v>68</v>
      </c>
      <c r="H271" s="0" t="n">
        <v>26</v>
      </c>
      <c r="I271" s="0" t="n">
        <v>214408.45</v>
      </c>
      <c r="J271" s="0" t="n">
        <v>1722.04</v>
      </c>
    </row>
    <row r="272" customFormat="false" ht="15" hidden="false" customHeight="false" outlineLevel="0" collapsed="false">
      <c r="A272" s="0" t="s">
        <v>51</v>
      </c>
      <c r="B272" s="0" t="s">
        <v>17</v>
      </c>
      <c r="C272" s="0" t="n">
        <v>2953</v>
      </c>
      <c r="D272" s="0" t="n">
        <v>478</v>
      </c>
      <c r="E272" s="0" t="n">
        <v>208</v>
      </c>
      <c r="F272" s="0" t="n">
        <v>152</v>
      </c>
      <c r="G272" s="0" t="n">
        <v>125</v>
      </c>
      <c r="H272" s="0" t="n">
        <v>62</v>
      </c>
      <c r="I272" s="0" t="n">
        <v>457485.24</v>
      </c>
      <c r="J272" s="0" t="n">
        <v>1084.24</v>
      </c>
    </row>
    <row r="273" customFormat="false" ht="15" hidden="false" customHeight="false" outlineLevel="0" collapsed="false">
      <c r="A273" s="0" t="s">
        <v>51</v>
      </c>
      <c r="B273" s="0" t="s">
        <v>18</v>
      </c>
      <c r="C273" s="0" t="n">
        <v>9733</v>
      </c>
      <c r="D273" s="0" t="n">
        <v>160</v>
      </c>
      <c r="E273" s="0" t="n">
        <v>31</v>
      </c>
      <c r="F273" s="0" t="n">
        <v>11</v>
      </c>
      <c r="G273" s="0" t="n">
        <v>6</v>
      </c>
      <c r="H273" s="0" t="n">
        <v>1</v>
      </c>
      <c r="I273" s="0" t="n">
        <v>5674.08</v>
      </c>
      <c r="J273" s="0" t="n">
        <v>1963.49</v>
      </c>
    </row>
    <row r="274" customFormat="false" ht="15" hidden="false" customHeight="false" outlineLevel="0" collapsed="false">
      <c r="A274" s="0" t="s">
        <v>52</v>
      </c>
      <c r="B274" s="0" t="s">
        <v>11</v>
      </c>
      <c r="C274" s="0" t="n">
        <v>4461</v>
      </c>
      <c r="D274" s="0" t="n">
        <v>641</v>
      </c>
      <c r="E274" s="0" t="n">
        <v>240</v>
      </c>
      <c r="F274" s="0" t="n">
        <v>151</v>
      </c>
      <c r="G274" s="0" t="n">
        <v>113</v>
      </c>
      <c r="H274" s="0" t="n">
        <v>44</v>
      </c>
      <c r="I274" s="0" t="n">
        <v>246818.1</v>
      </c>
      <c r="J274" s="0" t="n">
        <v>2679.39</v>
      </c>
    </row>
    <row r="275" customFormat="false" ht="15" hidden="false" customHeight="false" outlineLevel="0" collapsed="false">
      <c r="A275" s="0" t="s">
        <v>52</v>
      </c>
      <c r="B275" s="0" t="s">
        <v>12</v>
      </c>
      <c r="C275" s="0" t="n">
        <v>15837</v>
      </c>
      <c r="D275" s="0" t="n">
        <v>460</v>
      </c>
      <c r="E275" s="0" t="n">
        <v>109</v>
      </c>
      <c r="F275" s="0" t="n">
        <v>56</v>
      </c>
      <c r="G275" s="0" t="n">
        <v>43</v>
      </c>
      <c r="H275" s="0" t="n">
        <v>11</v>
      </c>
      <c r="I275" s="0" t="n">
        <v>63958.29</v>
      </c>
      <c r="J275" s="0" t="n">
        <v>4518.12</v>
      </c>
    </row>
    <row r="276" customFormat="false" ht="15" hidden="false" customHeight="false" outlineLevel="0" collapsed="false">
      <c r="A276" s="0" t="s">
        <v>52</v>
      </c>
      <c r="B276" s="0" t="s">
        <v>13</v>
      </c>
      <c r="C276" s="0" t="n">
        <v>7792</v>
      </c>
      <c r="D276" s="0" t="n">
        <v>384</v>
      </c>
      <c r="E276" s="0" t="n">
        <v>103</v>
      </c>
      <c r="F276" s="0" t="n">
        <v>59</v>
      </c>
      <c r="G276" s="0" t="n">
        <v>44</v>
      </c>
      <c r="H276" s="0" t="n">
        <v>11</v>
      </c>
      <c r="I276" s="0" t="n">
        <v>65030.23</v>
      </c>
      <c r="J276" s="0" t="n">
        <v>5503.45</v>
      </c>
    </row>
    <row r="277" customFormat="false" ht="15" hidden="false" customHeight="false" outlineLevel="0" collapsed="false">
      <c r="A277" s="0" t="s">
        <v>52</v>
      </c>
      <c r="B277" s="0" t="s">
        <v>14</v>
      </c>
      <c r="C277" s="0" t="n">
        <v>14378</v>
      </c>
      <c r="D277" s="0" t="n">
        <v>301</v>
      </c>
      <c r="E277" s="0" t="n">
        <v>42</v>
      </c>
      <c r="F277" s="0" t="n">
        <v>18</v>
      </c>
      <c r="G277" s="0" t="n">
        <v>12</v>
      </c>
      <c r="H277" s="0" t="n">
        <v>3</v>
      </c>
      <c r="I277" s="0" t="n">
        <v>13682.4</v>
      </c>
      <c r="J277" s="0" t="n">
        <v>3258.79</v>
      </c>
    </row>
    <row r="278" customFormat="false" ht="15" hidden="false" customHeight="false" outlineLevel="0" collapsed="false">
      <c r="A278" s="0" t="s">
        <v>52</v>
      </c>
      <c r="B278" s="0" t="s">
        <v>15</v>
      </c>
      <c r="C278" s="0" t="n">
        <v>5907</v>
      </c>
      <c r="D278" s="0" t="n">
        <v>131</v>
      </c>
      <c r="E278" s="0" t="n">
        <v>29</v>
      </c>
      <c r="F278" s="0" t="n">
        <v>17</v>
      </c>
      <c r="G278" s="0" t="n">
        <v>13</v>
      </c>
      <c r="H278" s="0" t="n">
        <v>5</v>
      </c>
      <c r="I278" s="0" t="n">
        <v>71458.54</v>
      </c>
      <c r="J278" s="0" t="n">
        <v>4663.7</v>
      </c>
    </row>
    <row r="279" customFormat="false" ht="15" hidden="false" customHeight="false" outlineLevel="0" collapsed="false">
      <c r="A279" s="0" t="s">
        <v>52</v>
      </c>
      <c r="B279" s="0" t="s">
        <v>16</v>
      </c>
      <c r="C279" s="0" t="n">
        <v>13464</v>
      </c>
      <c r="D279" s="0" t="n">
        <v>690</v>
      </c>
      <c r="E279" s="0" t="n">
        <v>186</v>
      </c>
      <c r="F279" s="0" t="n">
        <v>95</v>
      </c>
      <c r="G279" s="0" t="n">
        <v>72</v>
      </c>
      <c r="H279" s="0" t="n">
        <v>29</v>
      </c>
      <c r="I279" s="0" t="n">
        <v>195044.76</v>
      </c>
      <c r="J279" s="0" t="n">
        <v>823.22</v>
      </c>
    </row>
    <row r="280" customFormat="false" ht="15" hidden="false" customHeight="false" outlineLevel="0" collapsed="false">
      <c r="A280" s="0" t="s">
        <v>52</v>
      </c>
      <c r="B280" s="0" t="s">
        <v>17</v>
      </c>
      <c r="C280" s="0" t="n">
        <v>1037</v>
      </c>
      <c r="D280" s="0" t="n">
        <v>152</v>
      </c>
      <c r="E280" s="0" t="n">
        <v>65</v>
      </c>
      <c r="F280" s="0" t="n">
        <v>46</v>
      </c>
      <c r="G280" s="0" t="n">
        <v>37</v>
      </c>
      <c r="H280" s="0" t="n">
        <v>15</v>
      </c>
      <c r="I280" s="0" t="n">
        <v>107166.43</v>
      </c>
      <c r="J280" s="0" t="n">
        <v>377.93</v>
      </c>
    </row>
    <row r="281" customFormat="false" ht="15" hidden="false" customHeight="false" outlineLevel="0" collapsed="false">
      <c r="A281" s="0" t="s">
        <v>52</v>
      </c>
      <c r="B281" s="0" t="s">
        <v>18</v>
      </c>
      <c r="C281" s="0" t="n">
        <v>11320</v>
      </c>
      <c r="D281" s="0" t="n">
        <v>306</v>
      </c>
      <c r="E281" s="0" t="n">
        <v>60</v>
      </c>
      <c r="F281" s="0" t="n">
        <v>26</v>
      </c>
      <c r="G281" s="0" t="n">
        <v>19</v>
      </c>
      <c r="H281" s="0" t="n">
        <v>3</v>
      </c>
      <c r="I281" s="0" t="n">
        <v>13437.06</v>
      </c>
      <c r="J281" s="0" t="n">
        <v>3301.65</v>
      </c>
    </row>
    <row r="282" customFormat="false" ht="15" hidden="false" customHeight="false" outlineLevel="0" collapsed="false">
      <c r="A282" s="0" t="s">
        <v>53</v>
      </c>
      <c r="B282" s="0" t="s">
        <v>11</v>
      </c>
      <c r="C282" s="0" t="n">
        <v>5438</v>
      </c>
      <c r="D282" s="0" t="n">
        <v>683</v>
      </c>
      <c r="E282" s="0" t="n">
        <v>269</v>
      </c>
      <c r="F282" s="0" t="n">
        <v>164</v>
      </c>
      <c r="G282" s="0" t="n">
        <v>135</v>
      </c>
      <c r="H282" s="0" t="n">
        <v>47</v>
      </c>
      <c r="I282" s="0" t="n">
        <v>241667.63</v>
      </c>
      <c r="J282" s="0" t="n">
        <v>2665.28</v>
      </c>
    </row>
    <row r="283" customFormat="false" ht="15" hidden="false" customHeight="false" outlineLevel="0" collapsed="false">
      <c r="A283" s="0" t="s">
        <v>53</v>
      </c>
      <c r="B283" s="0" t="s">
        <v>12</v>
      </c>
      <c r="C283" s="0" t="n">
        <v>15187</v>
      </c>
      <c r="D283" s="0" t="n">
        <v>253</v>
      </c>
      <c r="E283" s="0" t="n">
        <v>40</v>
      </c>
      <c r="F283" s="0" t="n">
        <v>21</v>
      </c>
      <c r="G283" s="0" t="n">
        <v>15</v>
      </c>
      <c r="H283" s="0" t="n">
        <v>4</v>
      </c>
      <c r="I283" s="0" t="n">
        <v>20574.18</v>
      </c>
      <c r="J283" s="0" t="n">
        <v>3580.67</v>
      </c>
    </row>
    <row r="284" customFormat="false" ht="15" hidden="false" customHeight="false" outlineLevel="0" collapsed="false">
      <c r="A284" s="0" t="s">
        <v>53</v>
      </c>
      <c r="B284" s="0" t="s">
        <v>13</v>
      </c>
      <c r="C284" s="0" t="n">
        <v>12945</v>
      </c>
      <c r="D284" s="0" t="n">
        <v>401</v>
      </c>
      <c r="E284" s="0" t="n">
        <v>103</v>
      </c>
      <c r="F284" s="0" t="n">
        <v>66</v>
      </c>
      <c r="G284" s="0" t="n">
        <v>54</v>
      </c>
      <c r="H284" s="0" t="n">
        <v>16</v>
      </c>
      <c r="I284" s="0" t="n">
        <v>119905.93</v>
      </c>
      <c r="J284" s="0" t="n">
        <v>5869.2</v>
      </c>
    </row>
    <row r="285" customFormat="false" ht="15" hidden="false" customHeight="false" outlineLevel="0" collapsed="false">
      <c r="A285" s="0" t="s">
        <v>53</v>
      </c>
      <c r="B285" s="0" t="s">
        <v>14</v>
      </c>
      <c r="C285" s="0" t="n">
        <v>12691</v>
      </c>
      <c r="D285" s="0" t="n">
        <v>239</v>
      </c>
      <c r="E285" s="0" t="n">
        <v>37</v>
      </c>
      <c r="F285" s="0" t="n">
        <v>16</v>
      </c>
      <c r="G285" s="0" t="n">
        <v>11</v>
      </c>
      <c r="H285" s="0" t="n">
        <v>2</v>
      </c>
      <c r="I285" s="0" t="n">
        <v>9373.52</v>
      </c>
      <c r="J285" s="0" t="n">
        <v>3166.19</v>
      </c>
    </row>
    <row r="286" customFormat="false" ht="15" hidden="false" customHeight="false" outlineLevel="0" collapsed="false">
      <c r="A286" s="0" t="s">
        <v>53</v>
      </c>
      <c r="B286" s="0" t="s">
        <v>15</v>
      </c>
      <c r="C286" s="0" t="n">
        <v>4428</v>
      </c>
      <c r="D286" s="0" t="n">
        <v>144</v>
      </c>
      <c r="E286" s="0" t="n">
        <v>34</v>
      </c>
      <c r="F286" s="0" t="n">
        <v>23</v>
      </c>
      <c r="G286" s="0" t="n">
        <v>17</v>
      </c>
      <c r="H286" s="0" t="n">
        <v>5</v>
      </c>
      <c r="I286" s="0" t="n">
        <v>59612.78</v>
      </c>
      <c r="J286" s="0" t="n">
        <v>4620.17</v>
      </c>
    </row>
    <row r="287" customFormat="false" ht="15" hidden="false" customHeight="false" outlineLevel="0" collapsed="false">
      <c r="A287" s="0" t="s">
        <v>53</v>
      </c>
      <c r="B287" s="0" t="s">
        <v>16</v>
      </c>
      <c r="C287" s="0" t="n">
        <v>8289</v>
      </c>
      <c r="D287" s="0" t="n">
        <v>451</v>
      </c>
      <c r="E287" s="0" t="n">
        <v>107</v>
      </c>
      <c r="F287" s="0" t="n">
        <v>53</v>
      </c>
      <c r="G287" s="0" t="n">
        <v>36</v>
      </c>
      <c r="H287" s="0" t="n">
        <v>13</v>
      </c>
      <c r="I287" s="0" t="n">
        <v>90922.53</v>
      </c>
      <c r="J287" s="0" t="n">
        <v>1327.32</v>
      </c>
    </row>
    <row r="288" customFormat="false" ht="15" hidden="false" customHeight="false" outlineLevel="0" collapsed="false">
      <c r="A288" s="0" t="s">
        <v>53</v>
      </c>
      <c r="B288" s="0" t="s">
        <v>17</v>
      </c>
      <c r="C288" s="0" t="n">
        <v>2446</v>
      </c>
      <c r="D288" s="0" t="n">
        <v>292</v>
      </c>
      <c r="E288" s="0" t="n">
        <v>134</v>
      </c>
      <c r="F288" s="0" t="n">
        <v>90</v>
      </c>
      <c r="G288" s="0" t="n">
        <v>72</v>
      </c>
      <c r="H288" s="0" t="n">
        <v>32</v>
      </c>
      <c r="I288" s="0" t="n">
        <v>224735.75</v>
      </c>
      <c r="J288" s="0" t="n">
        <v>295.22</v>
      </c>
    </row>
    <row r="289" customFormat="false" ht="15" hidden="false" customHeight="false" outlineLevel="0" collapsed="false">
      <c r="A289" s="0" t="s">
        <v>53</v>
      </c>
      <c r="B289" s="0" t="s">
        <v>18</v>
      </c>
      <c r="C289" s="0" t="n">
        <v>6533</v>
      </c>
      <c r="D289" s="0" t="n">
        <v>70</v>
      </c>
      <c r="E289" s="0" t="n">
        <v>11</v>
      </c>
      <c r="F289" s="0" t="n">
        <v>4</v>
      </c>
      <c r="G289" s="0" t="n">
        <v>2</v>
      </c>
      <c r="H289" s="0" t="n">
        <v>0</v>
      </c>
      <c r="I289" s="0" t="n">
        <v>0</v>
      </c>
      <c r="J289" s="0" t="n">
        <v>1058.87</v>
      </c>
    </row>
    <row r="290" customFormat="false" ht="15" hidden="false" customHeight="false" outlineLevel="0" collapsed="false">
      <c r="A290" s="0" t="s">
        <v>54</v>
      </c>
      <c r="B290" s="0" t="s">
        <v>11</v>
      </c>
      <c r="C290" s="0" t="n">
        <v>5281</v>
      </c>
      <c r="D290" s="0" t="n">
        <v>558</v>
      </c>
      <c r="E290" s="0" t="n">
        <v>174</v>
      </c>
      <c r="F290" s="0" t="n">
        <v>102</v>
      </c>
      <c r="G290" s="0" t="n">
        <v>84</v>
      </c>
      <c r="H290" s="0" t="n">
        <v>25</v>
      </c>
      <c r="I290" s="0" t="n">
        <v>142738.56</v>
      </c>
      <c r="J290" s="0" t="n">
        <v>1250.22</v>
      </c>
    </row>
    <row r="291" customFormat="false" ht="15" hidden="false" customHeight="false" outlineLevel="0" collapsed="false">
      <c r="A291" s="0" t="s">
        <v>54</v>
      </c>
      <c r="B291" s="0" t="s">
        <v>12</v>
      </c>
      <c r="C291" s="0" t="n">
        <v>13922</v>
      </c>
      <c r="D291" s="0" t="n">
        <v>355</v>
      </c>
      <c r="E291" s="0" t="n">
        <v>88</v>
      </c>
      <c r="F291" s="0" t="n">
        <v>36</v>
      </c>
      <c r="G291" s="0" t="n">
        <v>24</v>
      </c>
      <c r="H291" s="0" t="n">
        <v>5</v>
      </c>
      <c r="I291" s="0" t="n">
        <v>24110.21</v>
      </c>
      <c r="J291" s="0" t="n">
        <v>3888.24</v>
      </c>
    </row>
    <row r="292" customFormat="false" ht="15" hidden="false" customHeight="false" outlineLevel="0" collapsed="false">
      <c r="A292" s="0" t="s">
        <v>54</v>
      </c>
      <c r="B292" s="0" t="s">
        <v>13</v>
      </c>
      <c r="C292" s="0" t="n">
        <v>14317</v>
      </c>
      <c r="D292" s="0" t="n">
        <v>600</v>
      </c>
      <c r="E292" s="0" t="n">
        <v>125</v>
      </c>
      <c r="F292" s="0" t="n">
        <v>74</v>
      </c>
      <c r="G292" s="0" t="n">
        <v>53</v>
      </c>
      <c r="H292" s="0" t="n">
        <v>15</v>
      </c>
      <c r="I292" s="0" t="n">
        <v>114340.01</v>
      </c>
      <c r="J292" s="0" t="n">
        <v>11444.47</v>
      </c>
    </row>
    <row r="293" customFormat="false" ht="15" hidden="false" customHeight="false" outlineLevel="0" collapsed="false">
      <c r="A293" s="0" t="s">
        <v>54</v>
      </c>
      <c r="B293" s="0" t="s">
        <v>14</v>
      </c>
      <c r="C293" s="0" t="n">
        <v>16983</v>
      </c>
      <c r="D293" s="0" t="n">
        <v>397</v>
      </c>
      <c r="E293" s="0" t="n">
        <v>73</v>
      </c>
      <c r="F293" s="0" t="n">
        <v>30</v>
      </c>
      <c r="G293" s="0" t="n">
        <v>22</v>
      </c>
      <c r="H293" s="0" t="n">
        <v>6</v>
      </c>
      <c r="I293" s="0" t="n">
        <v>22818.78</v>
      </c>
      <c r="J293" s="0" t="n">
        <v>5061.11</v>
      </c>
    </row>
    <row r="294" customFormat="false" ht="15" hidden="false" customHeight="false" outlineLevel="0" collapsed="false">
      <c r="A294" s="0" t="s">
        <v>54</v>
      </c>
      <c r="B294" s="0" t="s">
        <v>15</v>
      </c>
      <c r="C294" s="0" t="n">
        <v>4545</v>
      </c>
      <c r="D294" s="0" t="n">
        <v>95</v>
      </c>
      <c r="E294" s="0" t="n">
        <v>19</v>
      </c>
      <c r="F294" s="0" t="n">
        <v>11</v>
      </c>
      <c r="G294" s="0" t="n">
        <v>8</v>
      </c>
      <c r="H294" s="0" t="n">
        <v>2</v>
      </c>
      <c r="I294" s="0" t="n">
        <v>23838.39</v>
      </c>
      <c r="J294" s="0" t="n">
        <v>3067.53</v>
      </c>
    </row>
    <row r="295" customFormat="false" ht="15" hidden="false" customHeight="false" outlineLevel="0" collapsed="false">
      <c r="A295" s="0" t="s">
        <v>54</v>
      </c>
      <c r="B295" s="0" t="s">
        <v>16</v>
      </c>
      <c r="C295" s="0" t="n">
        <v>14475</v>
      </c>
      <c r="D295" s="0" t="n">
        <v>966</v>
      </c>
      <c r="E295" s="0" t="n">
        <v>245</v>
      </c>
      <c r="F295" s="0" t="n">
        <v>131</v>
      </c>
      <c r="G295" s="0" t="n">
        <v>98</v>
      </c>
      <c r="H295" s="0" t="n">
        <v>34</v>
      </c>
      <c r="I295" s="0" t="n">
        <v>297155.27</v>
      </c>
      <c r="J295" s="0" t="n">
        <v>2194.94</v>
      </c>
    </row>
    <row r="296" customFormat="false" ht="15" hidden="false" customHeight="false" outlineLevel="0" collapsed="false">
      <c r="A296" s="0" t="s">
        <v>54</v>
      </c>
      <c r="B296" s="0" t="s">
        <v>17</v>
      </c>
      <c r="C296" s="0" t="n">
        <v>2837</v>
      </c>
      <c r="D296" s="0" t="n">
        <v>531</v>
      </c>
      <c r="E296" s="0" t="n">
        <v>250</v>
      </c>
      <c r="F296" s="0" t="n">
        <v>165</v>
      </c>
      <c r="G296" s="0" t="n">
        <v>143</v>
      </c>
      <c r="H296" s="0" t="n">
        <v>58</v>
      </c>
      <c r="I296" s="0" t="n">
        <v>430731.86</v>
      </c>
      <c r="J296" s="0" t="n">
        <v>1098.07</v>
      </c>
    </row>
    <row r="297" customFormat="false" ht="15" hidden="false" customHeight="false" outlineLevel="0" collapsed="false">
      <c r="A297" s="0" t="s">
        <v>54</v>
      </c>
      <c r="B297" s="0" t="s">
        <v>18</v>
      </c>
      <c r="C297" s="0" t="n">
        <v>5081</v>
      </c>
      <c r="D297" s="0" t="n">
        <v>93</v>
      </c>
      <c r="E297" s="0" t="n">
        <v>15</v>
      </c>
      <c r="F297" s="0" t="n">
        <v>6</v>
      </c>
      <c r="G297" s="0" t="n">
        <v>4</v>
      </c>
      <c r="H297" s="0" t="n">
        <v>0</v>
      </c>
      <c r="I297" s="0" t="n">
        <v>0</v>
      </c>
      <c r="J297" s="0" t="n">
        <v>1044.39</v>
      </c>
    </row>
    <row r="298" customFormat="false" ht="15" hidden="false" customHeight="false" outlineLevel="0" collapsed="false">
      <c r="A298" s="0" t="s">
        <v>55</v>
      </c>
      <c r="B298" s="0" t="s">
        <v>11</v>
      </c>
      <c r="C298" s="0" t="n">
        <v>4703</v>
      </c>
      <c r="D298" s="0" t="n">
        <v>399</v>
      </c>
      <c r="E298" s="0" t="n">
        <v>136</v>
      </c>
      <c r="F298" s="0" t="n">
        <v>79</v>
      </c>
      <c r="G298" s="0" t="n">
        <v>64</v>
      </c>
      <c r="H298" s="0" t="n">
        <v>23</v>
      </c>
      <c r="I298" s="0" t="n">
        <v>125023.06</v>
      </c>
      <c r="J298" s="0" t="n">
        <v>1234.42</v>
      </c>
    </row>
    <row r="299" customFormat="false" ht="15" hidden="false" customHeight="false" outlineLevel="0" collapsed="false">
      <c r="A299" s="0" t="s">
        <v>55</v>
      </c>
      <c r="B299" s="0" t="s">
        <v>12</v>
      </c>
      <c r="C299" s="0" t="n">
        <v>11675</v>
      </c>
      <c r="D299" s="0" t="n">
        <v>313</v>
      </c>
      <c r="E299" s="0" t="n">
        <v>60</v>
      </c>
      <c r="F299" s="0" t="n">
        <v>31</v>
      </c>
      <c r="G299" s="0" t="n">
        <v>23</v>
      </c>
      <c r="H299" s="0" t="n">
        <v>6</v>
      </c>
      <c r="I299" s="0" t="n">
        <v>29171.82</v>
      </c>
      <c r="J299" s="0" t="n">
        <v>4512.35</v>
      </c>
    </row>
    <row r="300" customFormat="false" ht="15" hidden="false" customHeight="false" outlineLevel="0" collapsed="false">
      <c r="A300" s="0" t="s">
        <v>55</v>
      </c>
      <c r="B300" s="0" t="s">
        <v>13</v>
      </c>
      <c r="C300" s="0" t="n">
        <v>8431</v>
      </c>
      <c r="D300" s="0" t="n">
        <v>437</v>
      </c>
      <c r="E300" s="0" t="n">
        <v>115</v>
      </c>
      <c r="F300" s="0" t="n">
        <v>72</v>
      </c>
      <c r="G300" s="0" t="n">
        <v>57</v>
      </c>
      <c r="H300" s="0" t="n">
        <v>16</v>
      </c>
      <c r="I300" s="0" t="n">
        <v>93218.3</v>
      </c>
      <c r="J300" s="0" t="n">
        <v>9058.86</v>
      </c>
    </row>
    <row r="301" customFormat="false" ht="15" hidden="false" customHeight="false" outlineLevel="0" collapsed="false">
      <c r="A301" s="0" t="s">
        <v>55</v>
      </c>
      <c r="B301" s="0" t="s">
        <v>14</v>
      </c>
      <c r="C301" s="0" t="n">
        <v>10507</v>
      </c>
      <c r="D301" s="0" t="n">
        <v>223</v>
      </c>
      <c r="E301" s="0" t="n">
        <v>36</v>
      </c>
      <c r="F301" s="0" t="n">
        <v>16</v>
      </c>
      <c r="G301" s="0" t="n">
        <v>11</v>
      </c>
      <c r="H301" s="0" t="n">
        <v>2</v>
      </c>
      <c r="I301" s="0" t="n">
        <v>8267.44</v>
      </c>
      <c r="J301" s="0" t="n">
        <v>2145.68</v>
      </c>
    </row>
    <row r="302" customFormat="false" ht="15" hidden="false" customHeight="false" outlineLevel="0" collapsed="false">
      <c r="A302" s="0" t="s">
        <v>55</v>
      </c>
      <c r="B302" s="0" t="s">
        <v>15</v>
      </c>
      <c r="C302" s="0" t="n">
        <v>3722</v>
      </c>
      <c r="D302" s="0" t="n">
        <v>85</v>
      </c>
      <c r="E302" s="0" t="n">
        <v>22</v>
      </c>
      <c r="F302" s="0" t="n">
        <v>14</v>
      </c>
      <c r="G302" s="0" t="n">
        <v>10</v>
      </c>
      <c r="H302" s="0" t="n">
        <v>3</v>
      </c>
      <c r="I302" s="0" t="n">
        <v>39553.53</v>
      </c>
      <c r="J302" s="0" t="n">
        <v>3647.9</v>
      </c>
    </row>
    <row r="303" customFormat="false" ht="15" hidden="false" customHeight="false" outlineLevel="0" collapsed="false">
      <c r="A303" s="0" t="s">
        <v>55</v>
      </c>
      <c r="B303" s="0" t="s">
        <v>16</v>
      </c>
      <c r="C303" s="0" t="n">
        <v>14892</v>
      </c>
      <c r="D303" s="0" t="n">
        <v>866</v>
      </c>
      <c r="E303" s="0" t="n">
        <v>220</v>
      </c>
      <c r="F303" s="0" t="n">
        <v>113</v>
      </c>
      <c r="G303" s="0" t="n">
        <v>83</v>
      </c>
      <c r="H303" s="0" t="n">
        <v>29</v>
      </c>
      <c r="I303" s="0" t="n">
        <v>257869.51</v>
      </c>
      <c r="J303" s="0" t="n">
        <v>1741.45</v>
      </c>
    </row>
    <row r="304" customFormat="false" ht="15" hidden="false" customHeight="false" outlineLevel="0" collapsed="false">
      <c r="A304" s="0" t="s">
        <v>55</v>
      </c>
      <c r="B304" s="0" t="s">
        <v>17</v>
      </c>
      <c r="C304" s="0" t="n">
        <v>2152</v>
      </c>
      <c r="D304" s="0" t="n">
        <v>223</v>
      </c>
      <c r="E304" s="0" t="n">
        <v>89</v>
      </c>
      <c r="F304" s="0" t="n">
        <v>61</v>
      </c>
      <c r="G304" s="0" t="n">
        <v>48</v>
      </c>
      <c r="H304" s="0" t="n">
        <v>19</v>
      </c>
      <c r="I304" s="0" t="n">
        <v>159135.81</v>
      </c>
      <c r="J304" s="0" t="n">
        <v>560.27</v>
      </c>
    </row>
    <row r="305" customFormat="false" ht="15" hidden="false" customHeight="false" outlineLevel="0" collapsed="false">
      <c r="A305" s="0" t="s">
        <v>55</v>
      </c>
      <c r="B305" s="0" t="s">
        <v>18</v>
      </c>
      <c r="C305" s="0" t="n">
        <v>7024</v>
      </c>
      <c r="D305" s="0" t="n">
        <v>196</v>
      </c>
      <c r="E305" s="0" t="n">
        <v>30</v>
      </c>
      <c r="F305" s="0" t="n">
        <v>14</v>
      </c>
      <c r="G305" s="0" t="n">
        <v>9</v>
      </c>
      <c r="H305" s="0" t="n">
        <v>2</v>
      </c>
      <c r="I305" s="0" t="n">
        <v>11306.83</v>
      </c>
      <c r="J305" s="0" t="n">
        <v>3141.77</v>
      </c>
    </row>
    <row r="306" customFormat="false" ht="15" hidden="false" customHeight="false" outlineLevel="0" collapsed="false">
      <c r="A306" s="0" t="s">
        <v>56</v>
      </c>
      <c r="B306" s="0" t="s">
        <v>11</v>
      </c>
      <c r="C306" s="0" t="n">
        <v>5187</v>
      </c>
      <c r="D306" s="0" t="n">
        <v>488</v>
      </c>
      <c r="E306" s="0" t="n">
        <v>165</v>
      </c>
      <c r="F306" s="0" t="n">
        <v>91</v>
      </c>
      <c r="G306" s="0" t="n">
        <v>72</v>
      </c>
      <c r="H306" s="0" t="n">
        <v>25</v>
      </c>
      <c r="I306" s="0" t="n">
        <v>173201.44</v>
      </c>
      <c r="J306" s="0" t="n">
        <v>1309.43</v>
      </c>
    </row>
    <row r="307" customFormat="false" ht="15" hidden="false" customHeight="false" outlineLevel="0" collapsed="false">
      <c r="A307" s="0" t="s">
        <v>56</v>
      </c>
      <c r="B307" s="0" t="s">
        <v>12</v>
      </c>
      <c r="C307" s="0" t="n">
        <v>12447</v>
      </c>
      <c r="D307" s="0" t="n">
        <v>287</v>
      </c>
      <c r="E307" s="0" t="n">
        <v>64</v>
      </c>
      <c r="F307" s="0" t="n">
        <v>33</v>
      </c>
      <c r="G307" s="0" t="n">
        <v>23</v>
      </c>
      <c r="H307" s="0" t="n">
        <v>5</v>
      </c>
      <c r="I307" s="0" t="n">
        <v>21946.24</v>
      </c>
      <c r="J307" s="0" t="n">
        <v>2817</v>
      </c>
    </row>
    <row r="308" customFormat="false" ht="15" hidden="false" customHeight="false" outlineLevel="0" collapsed="false">
      <c r="A308" s="0" t="s">
        <v>56</v>
      </c>
      <c r="B308" s="0" t="s">
        <v>13</v>
      </c>
      <c r="C308" s="0" t="n">
        <v>12614</v>
      </c>
      <c r="D308" s="0" t="n">
        <v>487</v>
      </c>
      <c r="E308" s="0" t="n">
        <v>144</v>
      </c>
      <c r="F308" s="0" t="n">
        <v>80</v>
      </c>
      <c r="G308" s="0" t="n">
        <v>60</v>
      </c>
      <c r="H308" s="0" t="n">
        <v>17</v>
      </c>
      <c r="I308" s="0" t="n">
        <v>92861.4</v>
      </c>
      <c r="J308" s="0" t="n">
        <v>9454.66</v>
      </c>
    </row>
    <row r="309" customFormat="false" ht="15" hidden="false" customHeight="false" outlineLevel="0" collapsed="false">
      <c r="A309" s="0" t="s">
        <v>56</v>
      </c>
      <c r="B309" s="0" t="s">
        <v>14</v>
      </c>
      <c r="C309" s="0" t="n">
        <v>6489</v>
      </c>
      <c r="D309" s="0" t="n">
        <v>113</v>
      </c>
      <c r="E309" s="0" t="n">
        <v>17</v>
      </c>
      <c r="F309" s="0" t="n">
        <v>8</v>
      </c>
      <c r="G309" s="0" t="n">
        <v>5</v>
      </c>
      <c r="H309" s="0" t="n">
        <v>1</v>
      </c>
      <c r="I309" s="0" t="n">
        <v>4078.39</v>
      </c>
      <c r="J309" s="0" t="n">
        <v>1250.15</v>
      </c>
    </row>
    <row r="310" customFormat="false" ht="15" hidden="false" customHeight="false" outlineLevel="0" collapsed="false">
      <c r="A310" s="0" t="s">
        <v>56</v>
      </c>
      <c r="B310" s="0" t="s">
        <v>15</v>
      </c>
      <c r="C310" s="0" t="n">
        <v>3209</v>
      </c>
      <c r="D310" s="0" t="n">
        <v>104</v>
      </c>
      <c r="E310" s="0" t="n">
        <v>23</v>
      </c>
      <c r="F310" s="0" t="n">
        <v>15</v>
      </c>
      <c r="G310" s="0" t="n">
        <v>12</v>
      </c>
      <c r="H310" s="0" t="n">
        <v>4</v>
      </c>
      <c r="I310" s="0" t="n">
        <v>51387.55</v>
      </c>
      <c r="J310" s="0" t="n">
        <v>4416.68</v>
      </c>
    </row>
    <row r="311" customFormat="false" ht="15" hidden="false" customHeight="false" outlineLevel="0" collapsed="false">
      <c r="A311" s="0" t="s">
        <v>56</v>
      </c>
      <c r="B311" s="0" t="s">
        <v>16</v>
      </c>
      <c r="C311" s="0" t="n">
        <v>12057</v>
      </c>
      <c r="D311" s="0" t="n">
        <v>830</v>
      </c>
      <c r="E311" s="0" t="n">
        <v>201</v>
      </c>
      <c r="F311" s="0" t="n">
        <v>117</v>
      </c>
      <c r="G311" s="0" t="n">
        <v>81</v>
      </c>
      <c r="H311" s="0" t="n">
        <v>34</v>
      </c>
      <c r="I311" s="0" t="n">
        <v>285009.49</v>
      </c>
      <c r="J311" s="0" t="n">
        <v>1037.2</v>
      </c>
    </row>
    <row r="312" customFormat="false" ht="15" hidden="false" customHeight="false" outlineLevel="0" collapsed="false">
      <c r="A312" s="0" t="s">
        <v>56</v>
      </c>
      <c r="B312" s="0" t="s">
        <v>17</v>
      </c>
      <c r="C312" s="0" t="n">
        <v>1553</v>
      </c>
      <c r="D312" s="0" t="n">
        <v>291</v>
      </c>
      <c r="E312" s="0" t="n">
        <v>143</v>
      </c>
      <c r="F312" s="0" t="n">
        <v>95</v>
      </c>
      <c r="G312" s="0" t="n">
        <v>78</v>
      </c>
      <c r="H312" s="0" t="n">
        <v>38</v>
      </c>
      <c r="I312" s="0" t="n">
        <v>364444.42</v>
      </c>
      <c r="J312" s="0" t="n">
        <v>572.34</v>
      </c>
    </row>
    <row r="313" customFormat="false" ht="15" hidden="false" customHeight="false" outlineLevel="0" collapsed="false">
      <c r="A313" s="0" t="s">
        <v>56</v>
      </c>
      <c r="B313" s="0" t="s">
        <v>18</v>
      </c>
      <c r="C313" s="0" t="n">
        <v>7752</v>
      </c>
      <c r="D313" s="0" t="n">
        <v>135</v>
      </c>
      <c r="E313" s="0" t="n">
        <v>22</v>
      </c>
      <c r="F313" s="0" t="n">
        <v>8</v>
      </c>
      <c r="G313" s="0" t="n">
        <v>5</v>
      </c>
      <c r="H313" s="0" t="n">
        <v>0</v>
      </c>
      <c r="I313" s="0" t="n">
        <v>0</v>
      </c>
      <c r="J313" s="0" t="n">
        <v>2040.22</v>
      </c>
    </row>
    <row r="314" customFormat="false" ht="15" hidden="false" customHeight="false" outlineLevel="0" collapsed="false">
      <c r="A314" s="0" t="s">
        <v>57</v>
      </c>
      <c r="B314" s="0" t="s">
        <v>11</v>
      </c>
      <c r="C314" s="0" t="n">
        <v>2587</v>
      </c>
      <c r="D314" s="0" t="n">
        <v>387</v>
      </c>
      <c r="E314" s="0" t="n">
        <v>142</v>
      </c>
      <c r="F314" s="0" t="n">
        <v>89</v>
      </c>
      <c r="G314" s="0" t="n">
        <v>69</v>
      </c>
      <c r="H314" s="0" t="n">
        <v>20</v>
      </c>
      <c r="I314" s="0" t="n">
        <v>133365.78</v>
      </c>
      <c r="J314" s="0" t="n">
        <v>1630.67</v>
      </c>
    </row>
    <row r="315" customFormat="false" ht="15" hidden="false" customHeight="false" outlineLevel="0" collapsed="false">
      <c r="A315" s="0" t="s">
        <v>57</v>
      </c>
      <c r="B315" s="0" t="s">
        <v>12</v>
      </c>
      <c r="C315" s="0" t="n">
        <v>8844</v>
      </c>
      <c r="D315" s="0" t="n">
        <v>147</v>
      </c>
      <c r="E315" s="0" t="n">
        <v>34</v>
      </c>
      <c r="F315" s="0" t="n">
        <v>15</v>
      </c>
      <c r="G315" s="0" t="n">
        <v>11</v>
      </c>
      <c r="H315" s="0" t="n">
        <v>3</v>
      </c>
      <c r="I315" s="0" t="n">
        <v>17300.79</v>
      </c>
      <c r="J315" s="0" t="n">
        <v>1240.27</v>
      </c>
    </row>
    <row r="316" customFormat="false" ht="15" hidden="false" customHeight="false" outlineLevel="0" collapsed="false">
      <c r="A316" s="0" t="s">
        <v>57</v>
      </c>
      <c r="B316" s="0" t="s">
        <v>13</v>
      </c>
      <c r="C316" s="0" t="n">
        <v>9156</v>
      </c>
      <c r="D316" s="0" t="n">
        <v>512</v>
      </c>
      <c r="E316" s="0" t="n">
        <v>152</v>
      </c>
      <c r="F316" s="0" t="n">
        <v>85</v>
      </c>
      <c r="G316" s="0" t="n">
        <v>70</v>
      </c>
      <c r="H316" s="0" t="n">
        <v>22</v>
      </c>
      <c r="I316" s="0" t="n">
        <v>173099.11</v>
      </c>
      <c r="J316" s="0" t="n">
        <v>10104.47</v>
      </c>
    </row>
    <row r="317" customFormat="false" ht="15" hidden="false" customHeight="false" outlineLevel="0" collapsed="false">
      <c r="A317" s="0" t="s">
        <v>57</v>
      </c>
      <c r="B317" s="0" t="s">
        <v>14</v>
      </c>
      <c r="C317" s="0" t="n">
        <v>10141</v>
      </c>
      <c r="D317" s="0" t="n">
        <v>204</v>
      </c>
      <c r="E317" s="0" t="n">
        <v>38</v>
      </c>
      <c r="F317" s="0" t="n">
        <v>19</v>
      </c>
      <c r="G317" s="0" t="n">
        <v>11</v>
      </c>
      <c r="H317" s="0" t="n">
        <v>2</v>
      </c>
      <c r="I317" s="0" t="n">
        <v>10490.83</v>
      </c>
      <c r="J317" s="0" t="n">
        <v>2410.07</v>
      </c>
    </row>
    <row r="318" customFormat="false" ht="15" hidden="false" customHeight="false" outlineLevel="0" collapsed="false">
      <c r="A318" s="0" t="s">
        <v>57</v>
      </c>
      <c r="B318" s="0" t="s">
        <v>15</v>
      </c>
      <c r="C318" s="0" t="n">
        <v>4054</v>
      </c>
      <c r="D318" s="0" t="n">
        <v>91</v>
      </c>
      <c r="E318" s="0" t="n">
        <v>19</v>
      </c>
      <c r="F318" s="0" t="n">
        <v>12</v>
      </c>
      <c r="G318" s="0" t="n">
        <v>9</v>
      </c>
      <c r="H318" s="0" t="n">
        <v>2</v>
      </c>
      <c r="I318" s="0" t="n">
        <v>29574.48</v>
      </c>
      <c r="J318" s="0" t="n">
        <v>3113.48</v>
      </c>
    </row>
    <row r="319" customFormat="false" ht="15" hidden="false" customHeight="false" outlineLevel="0" collapsed="false">
      <c r="A319" s="0" t="s">
        <v>57</v>
      </c>
      <c r="B319" s="0" t="s">
        <v>16</v>
      </c>
      <c r="C319" s="0" t="n">
        <v>10764</v>
      </c>
      <c r="D319" s="0" t="n">
        <v>492</v>
      </c>
      <c r="E319" s="0" t="n">
        <v>128</v>
      </c>
      <c r="F319" s="0" t="n">
        <v>73</v>
      </c>
      <c r="G319" s="0" t="n">
        <v>55</v>
      </c>
      <c r="H319" s="0" t="n">
        <v>23</v>
      </c>
      <c r="I319" s="0" t="n">
        <v>180338.68</v>
      </c>
      <c r="J319" s="0" t="n">
        <v>1324.39</v>
      </c>
    </row>
    <row r="320" customFormat="false" ht="15" hidden="false" customHeight="false" outlineLevel="0" collapsed="false">
      <c r="A320" s="0" t="s">
        <v>57</v>
      </c>
      <c r="B320" s="0" t="s">
        <v>17</v>
      </c>
      <c r="C320" s="0" t="n">
        <v>1075</v>
      </c>
      <c r="D320" s="0" t="n">
        <v>159</v>
      </c>
      <c r="E320" s="0" t="n">
        <v>64</v>
      </c>
      <c r="F320" s="0" t="n">
        <v>44</v>
      </c>
      <c r="G320" s="0" t="n">
        <v>36</v>
      </c>
      <c r="H320" s="0" t="n">
        <v>14</v>
      </c>
      <c r="I320" s="0" t="n">
        <v>102661.92</v>
      </c>
      <c r="J320" s="0" t="n">
        <v>269.92</v>
      </c>
    </row>
    <row r="321" customFormat="false" ht="15" hidden="false" customHeight="false" outlineLevel="0" collapsed="false">
      <c r="A321" s="0" t="s">
        <v>57</v>
      </c>
      <c r="B321" s="0" t="s">
        <v>18</v>
      </c>
      <c r="C321" s="0" t="n">
        <v>9058</v>
      </c>
      <c r="D321" s="0" t="n">
        <v>262</v>
      </c>
      <c r="E321" s="0" t="n">
        <v>40</v>
      </c>
      <c r="F321" s="0" t="n">
        <v>19</v>
      </c>
      <c r="G321" s="0" t="n">
        <v>12</v>
      </c>
      <c r="H321" s="0" t="n">
        <v>2</v>
      </c>
      <c r="I321" s="0" t="n">
        <v>10002.5</v>
      </c>
      <c r="J321" s="0" t="n">
        <v>2821.38</v>
      </c>
    </row>
    <row r="322" customFormat="false" ht="15" hidden="false" customHeight="false" outlineLevel="0" collapsed="false">
      <c r="A322" s="0" t="s">
        <v>58</v>
      </c>
      <c r="B322" s="0" t="s">
        <v>11</v>
      </c>
      <c r="C322" s="0" t="n">
        <v>5762</v>
      </c>
      <c r="D322" s="0" t="n">
        <v>670</v>
      </c>
      <c r="E322" s="0" t="n">
        <v>210</v>
      </c>
      <c r="F322" s="0" t="n">
        <v>131</v>
      </c>
      <c r="G322" s="0" t="n">
        <v>101</v>
      </c>
      <c r="H322" s="0" t="n">
        <v>35</v>
      </c>
      <c r="I322" s="0" t="n">
        <v>184367.99</v>
      </c>
      <c r="J322" s="0" t="n">
        <v>1911.39</v>
      </c>
    </row>
    <row r="323" customFormat="false" ht="15" hidden="false" customHeight="false" outlineLevel="0" collapsed="false">
      <c r="A323" s="0" t="s">
        <v>58</v>
      </c>
      <c r="B323" s="0" t="s">
        <v>12</v>
      </c>
      <c r="C323" s="0" t="n">
        <v>17641</v>
      </c>
      <c r="D323" s="0" t="n">
        <v>510</v>
      </c>
      <c r="E323" s="0" t="n">
        <v>97</v>
      </c>
      <c r="F323" s="0" t="n">
        <v>51</v>
      </c>
      <c r="G323" s="0" t="n">
        <v>35</v>
      </c>
      <c r="H323" s="0" t="n">
        <v>8</v>
      </c>
      <c r="I323" s="0" t="n">
        <v>42247.62</v>
      </c>
      <c r="J323" s="0" t="n">
        <v>4886.92</v>
      </c>
    </row>
    <row r="324" customFormat="false" ht="15" hidden="false" customHeight="false" outlineLevel="0" collapsed="false">
      <c r="A324" s="0" t="s">
        <v>58</v>
      </c>
      <c r="B324" s="0" t="s">
        <v>13</v>
      </c>
      <c r="C324" s="0" t="n">
        <v>12945</v>
      </c>
      <c r="D324" s="0" t="n">
        <v>662</v>
      </c>
      <c r="E324" s="0" t="n">
        <v>135</v>
      </c>
      <c r="F324" s="0" t="n">
        <v>68</v>
      </c>
      <c r="G324" s="0" t="n">
        <v>51</v>
      </c>
      <c r="H324" s="0" t="n">
        <v>14</v>
      </c>
      <c r="I324" s="0" t="n">
        <v>81802.19</v>
      </c>
      <c r="J324" s="0" t="n">
        <v>10806.38</v>
      </c>
    </row>
    <row r="325" customFormat="false" ht="15" hidden="false" customHeight="false" outlineLevel="0" collapsed="false">
      <c r="A325" s="0" t="s">
        <v>58</v>
      </c>
      <c r="B325" s="0" t="s">
        <v>14</v>
      </c>
      <c r="C325" s="0" t="n">
        <v>17768</v>
      </c>
      <c r="D325" s="0" t="n">
        <v>384</v>
      </c>
      <c r="E325" s="0" t="n">
        <v>62</v>
      </c>
      <c r="F325" s="0" t="n">
        <v>29</v>
      </c>
      <c r="G325" s="0" t="n">
        <v>18</v>
      </c>
      <c r="H325" s="0" t="n">
        <v>4</v>
      </c>
      <c r="I325" s="0" t="n">
        <v>18794.8</v>
      </c>
      <c r="J325" s="0" t="n">
        <v>4040.29</v>
      </c>
    </row>
    <row r="326" customFormat="false" ht="15" hidden="false" customHeight="false" outlineLevel="0" collapsed="false">
      <c r="A326" s="0" t="s">
        <v>58</v>
      </c>
      <c r="B326" s="0" t="s">
        <v>15</v>
      </c>
      <c r="C326" s="0" t="n">
        <v>4343</v>
      </c>
      <c r="D326" s="0" t="n">
        <v>141</v>
      </c>
      <c r="E326" s="0" t="n">
        <v>26</v>
      </c>
      <c r="F326" s="0" t="n">
        <v>18</v>
      </c>
      <c r="G326" s="0" t="n">
        <v>13</v>
      </c>
      <c r="H326" s="0" t="n">
        <v>4</v>
      </c>
      <c r="I326" s="0" t="n">
        <v>56079.17</v>
      </c>
      <c r="J326" s="0" t="n">
        <v>6549.55</v>
      </c>
    </row>
    <row r="327" customFormat="false" ht="15" hidden="false" customHeight="false" outlineLevel="0" collapsed="false">
      <c r="A327" s="0" t="s">
        <v>58</v>
      </c>
      <c r="B327" s="0" t="s">
        <v>16</v>
      </c>
      <c r="C327" s="0" t="n">
        <v>11666</v>
      </c>
      <c r="D327" s="0" t="n">
        <v>491</v>
      </c>
      <c r="E327" s="0" t="n">
        <v>127</v>
      </c>
      <c r="F327" s="0" t="n">
        <v>67</v>
      </c>
      <c r="G327" s="0" t="n">
        <v>45</v>
      </c>
      <c r="H327" s="0" t="n">
        <v>18</v>
      </c>
      <c r="I327" s="0" t="n">
        <v>122913.16</v>
      </c>
      <c r="J327" s="0" t="n">
        <v>537.01</v>
      </c>
    </row>
    <row r="328" customFormat="false" ht="15" hidden="false" customHeight="false" outlineLevel="0" collapsed="false">
      <c r="A328" s="0" t="s">
        <v>58</v>
      </c>
      <c r="B328" s="0" t="s">
        <v>17</v>
      </c>
      <c r="C328" s="0" t="n">
        <v>3120</v>
      </c>
      <c r="D328" s="0" t="n">
        <v>331</v>
      </c>
      <c r="E328" s="0" t="n">
        <v>160</v>
      </c>
      <c r="F328" s="0" t="n">
        <v>104</v>
      </c>
      <c r="G328" s="0" t="n">
        <v>83</v>
      </c>
      <c r="H328" s="0" t="n">
        <v>39</v>
      </c>
      <c r="I328" s="0" t="n">
        <v>284921.41</v>
      </c>
      <c r="J328" s="0" t="n">
        <v>540.37</v>
      </c>
    </row>
    <row r="329" customFormat="false" ht="15" hidden="false" customHeight="false" outlineLevel="0" collapsed="false">
      <c r="A329" s="0" t="s">
        <v>58</v>
      </c>
      <c r="B329" s="0" t="s">
        <v>18</v>
      </c>
      <c r="C329" s="0" t="n">
        <v>7521</v>
      </c>
      <c r="D329" s="0" t="n">
        <v>115</v>
      </c>
      <c r="E329" s="0" t="n">
        <v>24</v>
      </c>
      <c r="F329" s="0" t="n">
        <v>9</v>
      </c>
      <c r="G329" s="0" t="n">
        <v>6</v>
      </c>
      <c r="H329" s="0" t="n">
        <v>1</v>
      </c>
      <c r="I329" s="0" t="n">
        <v>5819.89</v>
      </c>
      <c r="J329" s="0" t="n">
        <v>1648.89</v>
      </c>
    </row>
    <row r="330" customFormat="false" ht="15" hidden="false" customHeight="false" outlineLevel="0" collapsed="false">
      <c r="A330" s="0" t="s">
        <v>59</v>
      </c>
      <c r="B330" s="0" t="s">
        <v>11</v>
      </c>
      <c r="C330" s="0" t="n">
        <v>7110</v>
      </c>
      <c r="D330" s="0" t="n">
        <v>992</v>
      </c>
      <c r="E330" s="0" t="n">
        <v>318</v>
      </c>
      <c r="F330" s="0" t="n">
        <v>195</v>
      </c>
      <c r="G330" s="0" t="n">
        <v>155</v>
      </c>
      <c r="H330" s="0" t="n">
        <v>60</v>
      </c>
      <c r="I330" s="0" t="n">
        <v>381337.58</v>
      </c>
      <c r="J330" s="0" t="n">
        <v>2626.04</v>
      </c>
    </row>
    <row r="331" customFormat="false" ht="15" hidden="false" customHeight="false" outlineLevel="0" collapsed="false">
      <c r="A331" s="0" t="s">
        <v>59</v>
      </c>
      <c r="B331" s="0" t="s">
        <v>12</v>
      </c>
      <c r="C331" s="0" t="n">
        <v>8052</v>
      </c>
      <c r="D331" s="0" t="n">
        <v>140</v>
      </c>
      <c r="E331" s="0" t="n">
        <v>30</v>
      </c>
      <c r="F331" s="0" t="n">
        <v>14</v>
      </c>
      <c r="G331" s="0" t="n">
        <v>11</v>
      </c>
      <c r="H331" s="0" t="n">
        <v>3</v>
      </c>
      <c r="I331" s="0" t="n">
        <v>16215.24</v>
      </c>
      <c r="J331" s="0" t="n">
        <v>2051.76</v>
      </c>
    </row>
    <row r="332" customFormat="false" ht="15" hidden="false" customHeight="false" outlineLevel="0" collapsed="false">
      <c r="A332" s="0" t="s">
        <v>59</v>
      </c>
      <c r="B332" s="0" t="s">
        <v>13</v>
      </c>
      <c r="C332" s="0" t="n">
        <v>8773</v>
      </c>
      <c r="D332" s="0" t="n">
        <v>516</v>
      </c>
      <c r="E332" s="0" t="n">
        <v>107</v>
      </c>
      <c r="F332" s="0" t="n">
        <v>64</v>
      </c>
      <c r="G332" s="0" t="n">
        <v>49</v>
      </c>
      <c r="H332" s="0" t="n">
        <v>14</v>
      </c>
      <c r="I332" s="0" t="n">
        <v>99562</v>
      </c>
      <c r="J332" s="0" t="n">
        <v>10488.79</v>
      </c>
    </row>
    <row r="333" customFormat="false" ht="15" hidden="false" customHeight="false" outlineLevel="0" collapsed="false">
      <c r="A333" s="0" t="s">
        <v>59</v>
      </c>
      <c r="B333" s="0" t="s">
        <v>14</v>
      </c>
      <c r="C333" s="0" t="n">
        <v>10278</v>
      </c>
      <c r="D333" s="0" t="n">
        <v>140</v>
      </c>
      <c r="E333" s="0" t="n">
        <v>28</v>
      </c>
      <c r="F333" s="0" t="n">
        <v>13</v>
      </c>
      <c r="G333" s="0" t="n">
        <v>7</v>
      </c>
      <c r="H333" s="0" t="n">
        <v>1</v>
      </c>
      <c r="I333" s="0" t="n">
        <v>4800.8</v>
      </c>
      <c r="J333" s="0" t="n">
        <v>1917.66</v>
      </c>
    </row>
    <row r="334" customFormat="false" ht="15" hidden="false" customHeight="false" outlineLevel="0" collapsed="false">
      <c r="A334" s="0" t="s">
        <v>59</v>
      </c>
      <c r="B334" s="0" t="s">
        <v>15</v>
      </c>
      <c r="C334" s="0" t="n">
        <v>3730</v>
      </c>
      <c r="D334" s="0" t="n">
        <v>108</v>
      </c>
      <c r="E334" s="0" t="n">
        <v>21</v>
      </c>
      <c r="F334" s="0" t="n">
        <v>13</v>
      </c>
      <c r="G334" s="0" t="n">
        <v>9</v>
      </c>
      <c r="H334" s="0" t="n">
        <v>2</v>
      </c>
      <c r="I334" s="0" t="n">
        <v>24165.04</v>
      </c>
      <c r="J334" s="0" t="n">
        <v>4897.95</v>
      </c>
    </row>
    <row r="335" customFormat="false" ht="15" hidden="false" customHeight="false" outlineLevel="0" collapsed="false">
      <c r="A335" s="0" t="s">
        <v>59</v>
      </c>
      <c r="B335" s="0" t="s">
        <v>16</v>
      </c>
      <c r="C335" s="0" t="n">
        <v>11469</v>
      </c>
      <c r="D335" s="0" t="n">
        <v>594</v>
      </c>
      <c r="E335" s="0" t="n">
        <v>125</v>
      </c>
      <c r="F335" s="0" t="n">
        <v>70</v>
      </c>
      <c r="G335" s="0" t="n">
        <v>53</v>
      </c>
      <c r="H335" s="0" t="n">
        <v>20</v>
      </c>
      <c r="I335" s="0" t="n">
        <v>143707.85</v>
      </c>
      <c r="J335" s="0" t="n">
        <v>1360.06</v>
      </c>
    </row>
    <row r="336" customFormat="false" ht="15" hidden="false" customHeight="false" outlineLevel="0" collapsed="false">
      <c r="A336" s="0" t="s">
        <v>59</v>
      </c>
      <c r="B336" s="0" t="s">
        <v>17</v>
      </c>
      <c r="C336" s="0" t="n">
        <v>3139</v>
      </c>
      <c r="D336" s="0" t="n">
        <v>376</v>
      </c>
      <c r="E336" s="0" t="n">
        <v>183</v>
      </c>
      <c r="F336" s="0" t="n">
        <v>124</v>
      </c>
      <c r="G336" s="0" t="n">
        <v>101</v>
      </c>
      <c r="H336" s="0" t="n">
        <v>40</v>
      </c>
      <c r="I336" s="0" t="n">
        <v>341903.43</v>
      </c>
      <c r="J336" s="0" t="n">
        <v>459.86</v>
      </c>
    </row>
    <row r="337" customFormat="false" ht="15" hidden="false" customHeight="false" outlineLevel="0" collapsed="false">
      <c r="A337" s="0" t="s">
        <v>59</v>
      </c>
      <c r="B337" s="0" t="s">
        <v>18</v>
      </c>
      <c r="C337" s="0" t="n">
        <v>6873</v>
      </c>
      <c r="D337" s="0" t="n">
        <v>183</v>
      </c>
      <c r="E337" s="0" t="n">
        <v>27</v>
      </c>
      <c r="F337" s="0" t="n">
        <v>10</v>
      </c>
      <c r="G337" s="0" t="n">
        <v>6</v>
      </c>
      <c r="H337" s="0" t="n">
        <v>0</v>
      </c>
      <c r="I337" s="0" t="n">
        <v>0</v>
      </c>
      <c r="J337" s="0" t="n">
        <v>2057.59</v>
      </c>
    </row>
    <row r="338" customFormat="false" ht="15" hidden="false" customHeight="false" outlineLevel="0" collapsed="false">
      <c r="A338" s="0" t="s">
        <v>60</v>
      </c>
      <c r="B338" s="0" t="s">
        <v>11</v>
      </c>
      <c r="C338" s="0" t="n">
        <v>7492</v>
      </c>
      <c r="D338" s="0" t="n">
        <v>1010</v>
      </c>
      <c r="E338" s="0" t="n">
        <v>381</v>
      </c>
      <c r="F338" s="0" t="n">
        <v>226</v>
      </c>
      <c r="G338" s="0" t="n">
        <v>178</v>
      </c>
      <c r="H338" s="0" t="n">
        <v>58</v>
      </c>
      <c r="I338" s="0" t="n">
        <v>316475.3</v>
      </c>
      <c r="J338" s="0" t="n">
        <v>2219.06</v>
      </c>
    </row>
    <row r="339" customFormat="false" ht="15" hidden="false" customHeight="false" outlineLevel="0" collapsed="false">
      <c r="A339" s="0" t="s">
        <v>60</v>
      </c>
      <c r="B339" s="0" t="s">
        <v>12</v>
      </c>
      <c r="C339" s="0" t="n">
        <v>16130</v>
      </c>
      <c r="D339" s="0" t="n">
        <v>317</v>
      </c>
      <c r="E339" s="0" t="n">
        <v>72</v>
      </c>
      <c r="F339" s="0" t="n">
        <v>37</v>
      </c>
      <c r="G339" s="0" t="n">
        <v>26</v>
      </c>
      <c r="H339" s="0" t="n">
        <v>7</v>
      </c>
      <c r="I339" s="0" t="n">
        <v>28237.27</v>
      </c>
      <c r="J339" s="0" t="n">
        <v>2814.6</v>
      </c>
    </row>
    <row r="340" customFormat="false" ht="15" hidden="false" customHeight="false" outlineLevel="0" collapsed="false">
      <c r="A340" s="0" t="s">
        <v>60</v>
      </c>
      <c r="B340" s="0" t="s">
        <v>13</v>
      </c>
      <c r="C340" s="0" t="n">
        <v>9928</v>
      </c>
      <c r="D340" s="0" t="n">
        <v>418</v>
      </c>
      <c r="E340" s="0" t="n">
        <v>105</v>
      </c>
      <c r="F340" s="0" t="n">
        <v>61</v>
      </c>
      <c r="G340" s="0" t="n">
        <v>42</v>
      </c>
      <c r="H340" s="0" t="n">
        <v>12</v>
      </c>
      <c r="I340" s="0" t="n">
        <v>78685.16</v>
      </c>
      <c r="J340" s="0" t="n">
        <v>9879.43</v>
      </c>
    </row>
    <row r="341" customFormat="false" ht="15" hidden="false" customHeight="false" outlineLevel="0" collapsed="false">
      <c r="A341" s="0" t="s">
        <v>60</v>
      </c>
      <c r="B341" s="0" t="s">
        <v>14</v>
      </c>
      <c r="C341" s="0" t="n">
        <v>15471</v>
      </c>
      <c r="D341" s="0" t="n">
        <v>385</v>
      </c>
      <c r="E341" s="0" t="n">
        <v>54</v>
      </c>
      <c r="F341" s="0" t="n">
        <v>22</v>
      </c>
      <c r="G341" s="0" t="n">
        <v>13</v>
      </c>
      <c r="H341" s="0" t="n">
        <v>2</v>
      </c>
      <c r="I341" s="0" t="n">
        <v>9671.84</v>
      </c>
      <c r="J341" s="0" t="n">
        <v>4778.62</v>
      </c>
    </row>
    <row r="342" customFormat="false" ht="15" hidden="false" customHeight="false" outlineLevel="0" collapsed="false">
      <c r="A342" s="0" t="s">
        <v>60</v>
      </c>
      <c r="B342" s="0" t="s">
        <v>15</v>
      </c>
      <c r="C342" s="0" t="n">
        <v>3392</v>
      </c>
      <c r="D342" s="0" t="n">
        <v>93</v>
      </c>
      <c r="E342" s="0" t="n">
        <v>16</v>
      </c>
      <c r="F342" s="0" t="n">
        <v>10</v>
      </c>
      <c r="G342" s="0" t="n">
        <v>8</v>
      </c>
      <c r="H342" s="0" t="n">
        <v>3</v>
      </c>
      <c r="I342" s="0" t="n">
        <v>30353.92</v>
      </c>
      <c r="J342" s="0" t="n">
        <v>4365.53</v>
      </c>
    </row>
    <row r="343" customFormat="false" ht="15" hidden="false" customHeight="false" outlineLevel="0" collapsed="false">
      <c r="A343" s="0" t="s">
        <v>60</v>
      </c>
      <c r="B343" s="0" t="s">
        <v>16</v>
      </c>
      <c r="C343" s="0" t="n">
        <v>8219</v>
      </c>
      <c r="D343" s="0" t="n">
        <v>487</v>
      </c>
      <c r="E343" s="0" t="n">
        <v>126</v>
      </c>
      <c r="F343" s="0" t="n">
        <v>68</v>
      </c>
      <c r="G343" s="0" t="n">
        <v>46</v>
      </c>
      <c r="H343" s="0" t="n">
        <v>20</v>
      </c>
      <c r="I343" s="0" t="n">
        <v>167111.37</v>
      </c>
      <c r="J343" s="0" t="n">
        <v>1405.21</v>
      </c>
    </row>
    <row r="344" customFormat="false" ht="15" hidden="false" customHeight="false" outlineLevel="0" collapsed="false">
      <c r="A344" s="0" t="s">
        <v>60</v>
      </c>
      <c r="B344" s="0" t="s">
        <v>17</v>
      </c>
      <c r="C344" s="0" t="n">
        <v>3973</v>
      </c>
      <c r="D344" s="0" t="n">
        <v>613</v>
      </c>
      <c r="E344" s="0" t="n">
        <v>304</v>
      </c>
      <c r="F344" s="0" t="n">
        <v>199</v>
      </c>
      <c r="G344" s="0" t="n">
        <v>162</v>
      </c>
      <c r="H344" s="0" t="n">
        <v>68</v>
      </c>
      <c r="I344" s="0" t="n">
        <v>504723.8</v>
      </c>
      <c r="J344" s="0" t="n">
        <v>853.09</v>
      </c>
    </row>
    <row r="345" customFormat="false" ht="15" hidden="false" customHeight="false" outlineLevel="0" collapsed="false">
      <c r="A345" s="0" t="s">
        <v>60</v>
      </c>
      <c r="B345" s="0" t="s">
        <v>18</v>
      </c>
      <c r="C345" s="0" t="n">
        <v>9356</v>
      </c>
      <c r="D345" s="0" t="n">
        <v>239</v>
      </c>
      <c r="E345" s="0" t="n">
        <v>45</v>
      </c>
      <c r="F345" s="0" t="n">
        <v>16</v>
      </c>
      <c r="G345" s="0" t="n">
        <v>11</v>
      </c>
      <c r="H345" s="0" t="n">
        <v>2</v>
      </c>
      <c r="I345" s="0" t="n">
        <v>10696.52</v>
      </c>
      <c r="J345" s="0" t="n">
        <v>3317.72</v>
      </c>
    </row>
    <row r="346" customFormat="false" ht="15" hidden="false" customHeight="false" outlineLevel="0" collapsed="false">
      <c r="A346" s="0" t="s">
        <v>61</v>
      </c>
      <c r="B346" s="0" t="s">
        <v>11</v>
      </c>
      <c r="C346" s="0" t="n">
        <v>7268</v>
      </c>
      <c r="D346" s="0" t="n">
        <v>704</v>
      </c>
      <c r="E346" s="0" t="n">
        <v>278</v>
      </c>
      <c r="F346" s="0" t="n">
        <v>158</v>
      </c>
      <c r="G346" s="0" t="n">
        <v>133</v>
      </c>
      <c r="H346" s="0" t="n">
        <v>53</v>
      </c>
      <c r="I346" s="0" t="n">
        <v>369001.24</v>
      </c>
      <c r="J346" s="0" t="n">
        <v>2911.16</v>
      </c>
    </row>
    <row r="347" customFormat="false" ht="15" hidden="false" customHeight="false" outlineLevel="0" collapsed="false">
      <c r="A347" s="0" t="s">
        <v>61</v>
      </c>
      <c r="B347" s="0" t="s">
        <v>12</v>
      </c>
      <c r="C347" s="0" t="n">
        <v>9767</v>
      </c>
      <c r="D347" s="0" t="n">
        <v>147</v>
      </c>
      <c r="E347" s="0" t="n">
        <v>31</v>
      </c>
      <c r="F347" s="0" t="n">
        <v>14</v>
      </c>
      <c r="G347" s="0" t="n">
        <v>9</v>
      </c>
      <c r="H347" s="0" t="n">
        <v>2</v>
      </c>
      <c r="I347" s="0" t="n">
        <v>8967.57</v>
      </c>
      <c r="J347" s="0" t="n">
        <v>1721.02</v>
      </c>
    </row>
    <row r="348" customFormat="false" ht="15" hidden="false" customHeight="false" outlineLevel="0" collapsed="false">
      <c r="A348" s="0" t="s">
        <v>61</v>
      </c>
      <c r="B348" s="0" t="s">
        <v>13</v>
      </c>
      <c r="C348" s="0" t="n">
        <v>7599</v>
      </c>
      <c r="D348" s="0" t="n">
        <v>306</v>
      </c>
      <c r="E348" s="0" t="n">
        <v>89</v>
      </c>
      <c r="F348" s="0" t="n">
        <v>48</v>
      </c>
      <c r="G348" s="0" t="n">
        <v>36</v>
      </c>
      <c r="H348" s="0" t="n">
        <v>12</v>
      </c>
      <c r="I348" s="0" t="n">
        <v>62239.32</v>
      </c>
      <c r="J348" s="0" t="n">
        <v>6449.63</v>
      </c>
    </row>
    <row r="349" customFormat="false" ht="15" hidden="false" customHeight="false" outlineLevel="0" collapsed="false">
      <c r="A349" s="0" t="s">
        <v>61</v>
      </c>
      <c r="B349" s="0" t="s">
        <v>14</v>
      </c>
      <c r="C349" s="0" t="n">
        <v>12506</v>
      </c>
      <c r="D349" s="0" t="n">
        <v>286</v>
      </c>
      <c r="E349" s="0" t="n">
        <v>39</v>
      </c>
      <c r="F349" s="0" t="n">
        <v>16</v>
      </c>
      <c r="G349" s="0" t="n">
        <v>11</v>
      </c>
      <c r="H349" s="0" t="n">
        <v>2</v>
      </c>
      <c r="I349" s="0" t="n">
        <v>9331.26</v>
      </c>
      <c r="J349" s="0" t="n">
        <v>3096.25</v>
      </c>
    </row>
    <row r="350" customFormat="false" ht="15" hidden="false" customHeight="false" outlineLevel="0" collapsed="false">
      <c r="A350" s="0" t="s">
        <v>61</v>
      </c>
      <c r="B350" s="0" t="s">
        <v>15</v>
      </c>
      <c r="C350" s="0" t="n">
        <v>2175</v>
      </c>
      <c r="D350" s="0" t="n">
        <v>50</v>
      </c>
      <c r="E350" s="0" t="n">
        <v>11</v>
      </c>
      <c r="F350" s="0" t="n">
        <v>6</v>
      </c>
      <c r="G350" s="0" t="n">
        <v>4</v>
      </c>
      <c r="H350" s="0" t="n">
        <v>1</v>
      </c>
      <c r="I350" s="0" t="n">
        <v>13965.71</v>
      </c>
      <c r="J350" s="0" t="n">
        <v>2481.19</v>
      </c>
    </row>
    <row r="351" customFormat="false" ht="15" hidden="false" customHeight="false" outlineLevel="0" collapsed="false">
      <c r="A351" s="0" t="s">
        <v>61</v>
      </c>
      <c r="B351" s="0" t="s">
        <v>16</v>
      </c>
      <c r="C351" s="0" t="n">
        <v>11125</v>
      </c>
      <c r="D351" s="0" t="n">
        <v>560</v>
      </c>
      <c r="E351" s="0" t="n">
        <v>131</v>
      </c>
      <c r="F351" s="0" t="n">
        <v>73</v>
      </c>
      <c r="G351" s="0" t="n">
        <v>50</v>
      </c>
      <c r="H351" s="0" t="n">
        <v>20</v>
      </c>
      <c r="I351" s="0" t="n">
        <v>131406.46</v>
      </c>
      <c r="J351" s="0" t="n">
        <v>1658.92</v>
      </c>
    </row>
    <row r="352" customFormat="false" ht="15" hidden="false" customHeight="false" outlineLevel="0" collapsed="false">
      <c r="A352" s="0" t="s">
        <v>61</v>
      </c>
      <c r="B352" s="0" t="s">
        <v>17</v>
      </c>
      <c r="C352" s="0" t="n">
        <v>3377</v>
      </c>
      <c r="D352" s="0" t="n">
        <v>644</v>
      </c>
      <c r="E352" s="0" t="n">
        <v>318</v>
      </c>
      <c r="F352" s="0" t="n">
        <v>237</v>
      </c>
      <c r="G352" s="0" t="n">
        <v>197</v>
      </c>
      <c r="H352" s="0" t="n">
        <v>98</v>
      </c>
      <c r="I352" s="0" t="n">
        <v>733531.4</v>
      </c>
      <c r="J352" s="0" t="n">
        <v>1619.42</v>
      </c>
    </row>
    <row r="353" customFormat="false" ht="15" hidden="false" customHeight="false" outlineLevel="0" collapsed="false">
      <c r="A353" s="0" t="s">
        <v>61</v>
      </c>
      <c r="B353" s="0" t="s">
        <v>18</v>
      </c>
      <c r="C353" s="0" t="n">
        <v>8338</v>
      </c>
      <c r="D353" s="0" t="n">
        <v>203</v>
      </c>
      <c r="E353" s="0" t="n">
        <v>33</v>
      </c>
      <c r="F353" s="0" t="n">
        <v>14</v>
      </c>
      <c r="G353" s="0" t="n">
        <v>9</v>
      </c>
      <c r="H353" s="0" t="n">
        <v>1</v>
      </c>
      <c r="I353" s="0" t="n">
        <v>5543.25</v>
      </c>
      <c r="J353" s="0" t="n">
        <v>3177.12</v>
      </c>
    </row>
    <row r="354" customFormat="false" ht="15" hidden="false" customHeight="false" outlineLevel="0" collapsed="false">
      <c r="A354" s="0" t="s">
        <v>62</v>
      </c>
      <c r="B354" s="0" t="s">
        <v>11</v>
      </c>
      <c r="C354" s="0" t="n">
        <v>5820</v>
      </c>
      <c r="D354" s="0" t="n">
        <v>611</v>
      </c>
      <c r="E354" s="0" t="n">
        <v>223</v>
      </c>
      <c r="F354" s="0" t="n">
        <v>128</v>
      </c>
      <c r="G354" s="0" t="n">
        <v>98</v>
      </c>
      <c r="H354" s="0" t="n">
        <v>38</v>
      </c>
      <c r="I354" s="0" t="n">
        <v>228452.8</v>
      </c>
      <c r="J354" s="0" t="n">
        <v>1408.61</v>
      </c>
    </row>
    <row r="355" customFormat="false" ht="15" hidden="false" customHeight="false" outlineLevel="0" collapsed="false">
      <c r="A355" s="0" t="s">
        <v>62</v>
      </c>
      <c r="B355" s="0" t="s">
        <v>12</v>
      </c>
      <c r="C355" s="0" t="n">
        <v>11860</v>
      </c>
      <c r="D355" s="0" t="n">
        <v>328</v>
      </c>
      <c r="E355" s="0" t="n">
        <v>73</v>
      </c>
      <c r="F355" s="0" t="n">
        <v>30</v>
      </c>
      <c r="G355" s="0" t="n">
        <v>21</v>
      </c>
      <c r="H355" s="0" t="n">
        <v>4</v>
      </c>
      <c r="I355" s="0" t="n">
        <v>21299.47</v>
      </c>
      <c r="J355" s="0" t="n">
        <v>3728.12</v>
      </c>
    </row>
    <row r="356" customFormat="false" ht="15" hidden="false" customHeight="false" outlineLevel="0" collapsed="false">
      <c r="A356" s="0" t="s">
        <v>62</v>
      </c>
      <c r="B356" s="0" t="s">
        <v>13</v>
      </c>
      <c r="C356" s="0" t="n">
        <v>9988</v>
      </c>
      <c r="D356" s="0" t="n">
        <v>303</v>
      </c>
      <c r="E356" s="0" t="n">
        <v>60</v>
      </c>
      <c r="F356" s="0" t="n">
        <v>33</v>
      </c>
      <c r="G356" s="0" t="n">
        <v>27</v>
      </c>
      <c r="H356" s="0" t="n">
        <v>7</v>
      </c>
      <c r="I356" s="0" t="n">
        <v>39663.59</v>
      </c>
      <c r="J356" s="0" t="n">
        <v>6164.12</v>
      </c>
    </row>
    <row r="357" customFormat="false" ht="15" hidden="false" customHeight="false" outlineLevel="0" collapsed="false">
      <c r="A357" s="0" t="s">
        <v>62</v>
      </c>
      <c r="B357" s="0" t="s">
        <v>14</v>
      </c>
      <c r="C357" s="0" t="n">
        <v>8303</v>
      </c>
      <c r="D357" s="0" t="n">
        <v>138</v>
      </c>
      <c r="E357" s="0" t="n">
        <v>22</v>
      </c>
      <c r="F357" s="0" t="n">
        <v>11</v>
      </c>
      <c r="G357" s="0" t="n">
        <v>8</v>
      </c>
      <c r="H357" s="0" t="n">
        <v>1</v>
      </c>
      <c r="I357" s="0" t="n">
        <v>4543.45</v>
      </c>
      <c r="J357" s="0" t="n">
        <v>1701.13</v>
      </c>
    </row>
    <row r="358" customFormat="false" ht="15" hidden="false" customHeight="false" outlineLevel="0" collapsed="false">
      <c r="A358" s="0" t="s">
        <v>62</v>
      </c>
      <c r="B358" s="0" t="s">
        <v>15</v>
      </c>
      <c r="C358" s="0" t="n">
        <v>3569</v>
      </c>
      <c r="D358" s="0" t="n">
        <v>125</v>
      </c>
      <c r="E358" s="0" t="n">
        <v>33</v>
      </c>
      <c r="F358" s="0" t="n">
        <v>24</v>
      </c>
      <c r="G358" s="0" t="n">
        <v>19</v>
      </c>
      <c r="H358" s="0" t="n">
        <v>6</v>
      </c>
      <c r="I358" s="0" t="n">
        <v>67530.04</v>
      </c>
      <c r="J358" s="0" t="n">
        <v>5718.87</v>
      </c>
    </row>
    <row r="359" customFormat="false" ht="15" hidden="false" customHeight="false" outlineLevel="0" collapsed="false">
      <c r="A359" s="0" t="s">
        <v>62</v>
      </c>
      <c r="B359" s="0" t="s">
        <v>16</v>
      </c>
      <c r="C359" s="0" t="n">
        <v>7987</v>
      </c>
      <c r="D359" s="0" t="n">
        <v>331</v>
      </c>
      <c r="E359" s="0" t="n">
        <v>67</v>
      </c>
      <c r="F359" s="0" t="n">
        <v>34</v>
      </c>
      <c r="G359" s="0" t="n">
        <v>26</v>
      </c>
      <c r="H359" s="0" t="n">
        <v>9</v>
      </c>
      <c r="I359" s="0" t="n">
        <v>69703.8</v>
      </c>
      <c r="J359" s="0" t="n">
        <v>960.2</v>
      </c>
    </row>
    <row r="360" customFormat="false" ht="15" hidden="false" customHeight="false" outlineLevel="0" collapsed="false">
      <c r="A360" s="0" t="s">
        <v>62</v>
      </c>
      <c r="B360" s="0" t="s">
        <v>17</v>
      </c>
      <c r="C360" s="0" t="n">
        <v>2309</v>
      </c>
      <c r="D360" s="0" t="n">
        <v>364</v>
      </c>
      <c r="E360" s="0" t="n">
        <v>164</v>
      </c>
      <c r="F360" s="0" t="n">
        <v>119</v>
      </c>
      <c r="G360" s="0" t="n">
        <v>96</v>
      </c>
      <c r="H360" s="0" t="n">
        <v>41</v>
      </c>
      <c r="I360" s="0" t="n">
        <v>403414.15</v>
      </c>
      <c r="J360" s="0" t="n">
        <v>1014.9</v>
      </c>
    </row>
    <row r="361" customFormat="false" ht="15" hidden="false" customHeight="false" outlineLevel="0" collapsed="false">
      <c r="A361" s="0" t="s">
        <v>62</v>
      </c>
      <c r="B361" s="0" t="s">
        <v>18</v>
      </c>
      <c r="C361" s="0" t="n">
        <v>11247</v>
      </c>
      <c r="D361" s="0" t="n">
        <v>206</v>
      </c>
      <c r="E361" s="0" t="n">
        <v>42</v>
      </c>
      <c r="F361" s="0" t="n">
        <v>17</v>
      </c>
      <c r="G361" s="0" t="n">
        <v>11</v>
      </c>
      <c r="H361" s="0" t="n">
        <v>1</v>
      </c>
      <c r="I361" s="0" t="n">
        <v>4372.27</v>
      </c>
      <c r="J361" s="0" t="n">
        <v>3277.73</v>
      </c>
    </row>
    <row r="362" customFormat="false" ht="15" hidden="false" customHeight="false" outlineLevel="0" collapsed="false">
      <c r="A362" s="0" t="s">
        <v>63</v>
      </c>
      <c r="B362" s="0" t="s">
        <v>11</v>
      </c>
      <c r="C362" s="0" t="n">
        <v>5649</v>
      </c>
      <c r="D362" s="0" t="n">
        <v>834</v>
      </c>
      <c r="E362" s="0" t="n">
        <v>268</v>
      </c>
      <c r="F362" s="0" t="n">
        <v>165</v>
      </c>
      <c r="G362" s="0" t="n">
        <v>135</v>
      </c>
      <c r="H362" s="0" t="n">
        <v>51</v>
      </c>
      <c r="I362" s="0" t="n">
        <v>285898.95</v>
      </c>
      <c r="J362" s="0" t="n">
        <v>2725.42</v>
      </c>
    </row>
    <row r="363" customFormat="false" ht="15" hidden="false" customHeight="false" outlineLevel="0" collapsed="false">
      <c r="A363" s="0" t="s">
        <v>63</v>
      </c>
      <c r="B363" s="0" t="s">
        <v>12</v>
      </c>
      <c r="C363" s="0" t="n">
        <v>15070</v>
      </c>
      <c r="D363" s="0" t="n">
        <v>414</v>
      </c>
      <c r="E363" s="0" t="n">
        <v>75</v>
      </c>
      <c r="F363" s="0" t="n">
        <v>37</v>
      </c>
      <c r="G363" s="0" t="n">
        <v>28</v>
      </c>
      <c r="H363" s="0" t="n">
        <v>7</v>
      </c>
      <c r="I363" s="0" t="n">
        <v>40262.36</v>
      </c>
      <c r="J363" s="0" t="n">
        <v>3751.32</v>
      </c>
    </row>
    <row r="364" customFormat="false" ht="15" hidden="false" customHeight="false" outlineLevel="0" collapsed="false">
      <c r="A364" s="0" t="s">
        <v>63</v>
      </c>
      <c r="B364" s="0" t="s">
        <v>13</v>
      </c>
      <c r="C364" s="0" t="n">
        <v>7068</v>
      </c>
      <c r="D364" s="0" t="n">
        <v>393</v>
      </c>
      <c r="E364" s="0" t="n">
        <v>86</v>
      </c>
      <c r="F364" s="0" t="n">
        <v>43</v>
      </c>
      <c r="G364" s="0" t="n">
        <v>30</v>
      </c>
      <c r="H364" s="0" t="n">
        <v>10</v>
      </c>
      <c r="I364" s="0" t="n">
        <v>62282.36</v>
      </c>
      <c r="J364" s="0" t="n">
        <v>7494.2</v>
      </c>
    </row>
    <row r="365" customFormat="false" ht="15" hidden="false" customHeight="false" outlineLevel="0" collapsed="false">
      <c r="A365" s="0" t="s">
        <v>63</v>
      </c>
      <c r="B365" s="0" t="s">
        <v>14</v>
      </c>
      <c r="C365" s="0" t="n">
        <v>10990</v>
      </c>
      <c r="D365" s="0" t="n">
        <v>181</v>
      </c>
      <c r="E365" s="0" t="n">
        <v>30</v>
      </c>
      <c r="F365" s="0" t="n">
        <v>11</v>
      </c>
      <c r="G365" s="0" t="n">
        <v>6</v>
      </c>
      <c r="H365" s="0" t="n">
        <v>1</v>
      </c>
      <c r="I365" s="0" t="n">
        <v>4633.13</v>
      </c>
      <c r="J365" s="0" t="n">
        <v>1267.01</v>
      </c>
    </row>
    <row r="366" customFormat="false" ht="15" hidden="false" customHeight="false" outlineLevel="0" collapsed="false">
      <c r="A366" s="0" t="s">
        <v>63</v>
      </c>
      <c r="B366" s="0" t="s">
        <v>15</v>
      </c>
      <c r="C366" s="0" t="n">
        <v>3476</v>
      </c>
      <c r="D366" s="0" t="n">
        <v>73</v>
      </c>
      <c r="E366" s="0" t="n">
        <v>20</v>
      </c>
      <c r="F366" s="0" t="n">
        <v>12</v>
      </c>
      <c r="G366" s="0" t="n">
        <v>9</v>
      </c>
      <c r="H366" s="0" t="n">
        <v>2</v>
      </c>
      <c r="I366" s="0" t="n">
        <v>20014.74</v>
      </c>
      <c r="J366" s="0" t="n">
        <v>2526.41</v>
      </c>
    </row>
    <row r="367" customFormat="false" ht="15" hidden="false" customHeight="false" outlineLevel="0" collapsed="false">
      <c r="A367" s="0" t="s">
        <v>63</v>
      </c>
      <c r="B367" s="0" t="s">
        <v>16</v>
      </c>
      <c r="C367" s="0" t="n">
        <v>7588</v>
      </c>
      <c r="D367" s="0" t="n">
        <v>519</v>
      </c>
      <c r="E367" s="0" t="n">
        <v>137</v>
      </c>
      <c r="F367" s="0" t="n">
        <v>70</v>
      </c>
      <c r="G367" s="0" t="n">
        <v>50</v>
      </c>
      <c r="H367" s="0" t="n">
        <v>22</v>
      </c>
      <c r="I367" s="0" t="n">
        <v>197000.65</v>
      </c>
      <c r="J367" s="0" t="n">
        <v>1356.35</v>
      </c>
    </row>
    <row r="368" customFormat="false" ht="15" hidden="false" customHeight="false" outlineLevel="0" collapsed="false">
      <c r="A368" s="0" t="s">
        <v>63</v>
      </c>
      <c r="B368" s="0" t="s">
        <v>17</v>
      </c>
      <c r="C368" s="0" t="n">
        <v>2773</v>
      </c>
      <c r="D368" s="0" t="n">
        <v>386</v>
      </c>
      <c r="E368" s="0" t="n">
        <v>177</v>
      </c>
      <c r="F368" s="0" t="n">
        <v>126</v>
      </c>
      <c r="G368" s="0" t="n">
        <v>99</v>
      </c>
      <c r="H368" s="0" t="n">
        <v>44</v>
      </c>
      <c r="I368" s="0" t="n">
        <v>330086.41</v>
      </c>
      <c r="J368" s="0" t="n">
        <v>933.6</v>
      </c>
    </row>
    <row r="369" customFormat="false" ht="15" hidden="false" customHeight="false" outlineLevel="0" collapsed="false">
      <c r="A369" s="0" t="s">
        <v>63</v>
      </c>
      <c r="B369" s="0" t="s">
        <v>18</v>
      </c>
      <c r="C369" s="0" t="n">
        <v>8894</v>
      </c>
      <c r="D369" s="0" t="n">
        <v>192</v>
      </c>
      <c r="E369" s="0" t="n">
        <v>41</v>
      </c>
      <c r="F369" s="0" t="n">
        <v>14</v>
      </c>
      <c r="G369" s="0" t="n">
        <v>8</v>
      </c>
      <c r="H369" s="0" t="n">
        <v>1</v>
      </c>
      <c r="I369" s="0" t="n">
        <v>5428.85</v>
      </c>
      <c r="J369" s="0" t="n">
        <v>2489.4</v>
      </c>
    </row>
    <row r="370" customFormat="false" ht="15" hidden="false" customHeight="false" outlineLevel="0" collapsed="false">
      <c r="A370" s="0" t="s">
        <v>64</v>
      </c>
      <c r="B370" s="0" t="s">
        <v>11</v>
      </c>
      <c r="C370" s="0" t="n">
        <v>6115</v>
      </c>
      <c r="D370" s="0" t="n">
        <v>494</v>
      </c>
      <c r="E370" s="0" t="n">
        <v>182</v>
      </c>
      <c r="F370" s="0" t="n">
        <v>117</v>
      </c>
      <c r="G370" s="0" t="n">
        <v>92</v>
      </c>
      <c r="H370" s="0" t="n">
        <v>29</v>
      </c>
      <c r="I370" s="0" t="n">
        <v>192393.43</v>
      </c>
      <c r="J370" s="0" t="n">
        <v>2032.62</v>
      </c>
    </row>
    <row r="371" customFormat="false" ht="15" hidden="false" customHeight="false" outlineLevel="0" collapsed="false">
      <c r="A371" s="0" t="s">
        <v>64</v>
      </c>
      <c r="B371" s="0" t="s">
        <v>12</v>
      </c>
      <c r="C371" s="0" t="n">
        <v>14086</v>
      </c>
      <c r="D371" s="0" t="n">
        <v>308</v>
      </c>
      <c r="E371" s="0" t="n">
        <v>74</v>
      </c>
      <c r="F371" s="0" t="n">
        <v>37</v>
      </c>
      <c r="G371" s="0" t="n">
        <v>28</v>
      </c>
      <c r="H371" s="0" t="n">
        <v>8</v>
      </c>
      <c r="I371" s="0" t="n">
        <v>44913.13</v>
      </c>
      <c r="J371" s="0" t="n">
        <v>3054.9</v>
      </c>
    </row>
    <row r="372" customFormat="false" ht="15" hidden="false" customHeight="false" outlineLevel="0" collapsed="false">
      <c r="A372" s="0" t="s">
        <v>64</v>
      </c>
      <c r="B372" s="0" t="s">
        <v>13</v>
      </c>
      <c r="C372" s="0" t="n">
        <v>10701</v>
      </c>
      <c r="D372" s="0" t="n">
        <v>353</v>
      </c>
      <c r="E372" s="0" t="n">
        <v>88</v>
      </c>
      <c r="F372" s="0" t="n">
        <v>50</v>
      </c>
      <c r="G372" s="0" t="n">
        <v>37</v>
      </c>
      <c r="H372" s="0" t="n">
        <v>12</v>
      </c>
      <c r="I372" s="0" t="n">
        <v>85099.54</v>
      </c>
      <c r="J372" s="0" t="n">
        <v>7863.1</v>
      </c>
    </row>
    <row r="373" customFormat="false" ht="15" hidden="false" customHeight="false" outlineLevel="0" collapsed="false">
      <c r="A373" s="0" t="s">
        <v>64</v>
      </c>
      <c r="B373" s="0" t="s">
        <v>14</v>
      </c>
      <c r="C373" s="0" t="n">
        <v>7775</v>
      </c>
      <c r="D373" s="0" t="n">
        <v>136</v>
      </c>
      <c r="E373" s="0" t="n">
        <v>21</v>
      </c>
      <c r="F373" s="0" t="n">
        <v>10</v>
      </c>
      <c r="G373" s="0" t="n">
        <v>7</v>
      </c>
      <c r="H373" s="0" t="n">
        <v>1</v>
      </c>
      <c r="I373" s="0" t="n">
        <v>4924.15</v>
      </c>
      <c r="J373" s="0" t="n">
        <v>1644.16</v>
      </c>
    </row>
    <row r="374" customFormat="false" ht="15" hidden="false" customHeight="false" outlineLevel="0" collapsed="false">
      <c r="A374" s="0" t="s">
        <v>64</v>
      </c>
      <c r="B374" s="0" t="s">
        <v>15</v>
      </c>
      <c r="C374" s="0" t="n">
        <v>4920</v>
      </c>
      <c r="D374" s="0" t="n">
        <v>147</v>
      </c>
      <c r="E374" s="0" t="n">
        <v>32</v>
      </c>
      <c r="F374" s="0" t="n">
        <v>19</v>
      </c>
      <c r="G374" s="0" t="n">
        <v>15</v>
      </c>
      <c r="H374" s="0" t="n">
        <v>5</v>
      </c>
      <c r="I374" s="0" t="n">
        <v>50629.84</v>
      </c>
      <c r="J374" s="0" t="n">
        <v>5540</v>
      </c>
    </row>
    <row r="375" customFormat="false" ht="15" hidden="false" customHeight="false" outlineLevel="0" collapsed="false">
      <c r="A375" s="0" t="s">
        <v>64</v>
      </c>
      <c r="B375" s="0" t="s">
        <v>16</v>
      </c>
      <c r="C375" s="0" t="n">
        <v>9280</v>
      </c>
      <c r="D375" s="0" t="n">
        <v>730</v>
      </c>
      <c r="E375" s="0" t="n">
        <v>149</v>
      </c>
      <c r="F375" s="0" t="n">
        <v>82</v>
      </c>
      <c r="G375" s="0" t="n">
        <v>62</v>
      </c>
      <c r="H375" s="0" t="n">
        <v>27</v>
      </c>
      <c r="I375" s="0" t="n">
        <v>226800.28</v>
      </c>
      <c r="J375" s="0" t="n">
        <v>991.71</v>
      </c>
    </row>
    <row r="376" customFormat="false" ht="15" hidden="false" customHeight="false" outlineLevel="0" collapsed="false">
      <c r="A376" s="0" t="s">
        <v>64</v>
      </c>
      <c r="B376" s="0" t="s">
        <v>17</v>
      </c>
      <c r="C376" s="0" t="n">
        <v>2259</v>
      </c>
      <c r="D376" s="0" t="n">
        <v>315</v>
      </c>
      <c r="E376" s="0" t="n">
        <v>130</v>
      </c>
      <c r="F376" s="0" t="n">
        <v>95</v>
      </c>
      <c r="G376" s="0" t="n">
        <v>75</v>
      </c>
      <c r="H376" s="0" t="n">
        <v>32</v>
      </c>
      <c r="I376" s="0" t="n">
        <v>307655.75</v>
      </c>
      <c r="J376" s="0" t="n">
        <v>497.73</v>
      </c>
    </row>
    <row r="377" customFormat="false" ht="15" hidden="false" customHeight="false" outlineLevel="0" collapsed="false">
      <c r="A377" s="0" t="s">
        <v>64</v>
      </c>
      <c r="B377" s="0" t="s">
        <v>18</v>
      </c>
      <c r="C377" s="0" t="n">
        <v>8252</v>
      </c>
      <c r="D377" s="0" t="n">
        <v>214</v>
      </c>
      <c r="E377" s="0" t="n">
        <v>35</v>
      </c>
      <c r="F377" s="0" t="n">
        <v>15</v>
      </c>
      <c r="G377" s="0" t="n">
        <v>10</v>
      </c>
      <c r="H377" s="0" t="n">
        <v>2</v>
      </c>
      <c r="I377" s="0" t="n">
        <v>8048.63</v>
      </c>
      <c r="J377" s="0" t="n">
        <v>4079.03</v>
      </c>
    </row>
    <row r="378" customFormat="false" ht="15" hidden="false" customHeight="false" outlineLevel="0" collapsed="false">
      <c r="A378" s="0" t="s">
        <v>65</v>
      </c>
      <c r="B378" s="0" t="s">
        <v>11</v>
      </c>
      <c r="C378" s="0" t="n">
        <v>3896</v>
      </c>
      <c r="D378" s="0" t="n">
        <v>576</v>
      </c>
      <c r="E378" s="0" t="n">
        <v>179</v>
      </c>
      <c r="F378" s="0" t="n">
        <v>105</v>
      </c>
      <c r="G378" s="0" t="n">
        <v>86</v>
      </c>
      <c r="H378" s="0" t="n">
        <v>31</v>
      </c>
      <c r="I378" s="0" t="n">
        <v>176484.5</v>
      </c>
      <c r="J378" s="0" t="n">
        <v>1882.48</v>
      </c>
    </row>
    <row r="379" customFormat="false" ht="15" hidden="false" customHeight="false" outlineLevel="0" collapsed="false">
      <c r="A379" s="0" t="s">
        <v>65</v>
      </c>
      <c r="B379" s="0" t="s">
        <v>12</v>
      </c>
      <c r="C379" s="0" t="n">
        <v>16792</v>
      </c>
      <c r="D379" s="0" t="n">
        <v>353</v>
      </c>
      <c r="E379" s="0" t="n">
        <v>55</v>
      </c>
      <c r="F379" s="0" t="n">
        <v>28</v>
      </c>
      <c r="G379" s="0" t="n">
        <v>19</v>
      </c>
      <c r="H379" s="0" t="n">
        <v>4</v>
      </c>
      <c r="I379" s="0" t="n">
        <v>18659.65</v>
      </c>
      <c r="J379" s="0" t="n">
        <v>4517.73</v>
      </c>
    </row>
    <row r="380" customFormat="false" ht="15" hidden="false" customHeight="false" outlineLevel="0" collapsed="false">
      <c r="A380" s="0" t="s">
        <v>65</v>
      </c>
      <c r="B380" s="0" t="s">
        <v>13</v>
      </c>
      <c r="C380" s="0" t="n">
        <v>11740</v>
      </c>
      <c r="D380" s="0" t="n">
        <v>370</v>
      </c>
      <c r="E380" s="0" t="n">
        <v>94</v>
      </c>
      <c r="F380" s="0" t="n">
        <v>51</v>
      </c>
      <c r="G380" s="0" t="n">
        <v>38</v>
      </c>
      <c r="H380" s="0" t="n">
        <v>10</v>
      </c>
      <c r="I380" s="0" t="n">
        <v>60021.5</v>
      </c>
      <c r="J380" s="0" t="n">
        <v>7478.78</v>
      </c>
    </row>
    <row r="381" customFormat="false" ht="15" hidden="false" customHeight="false" outlineLevel="0" collapsed="false">
      <c r="A381" s="0" t="s">
        <v>65</v>
      </c>
      <c r="B381" s="0" t="s">
        <v>14</v>
      </c>
      <c r="C381" s="0" t="n">
        <v>7622</v>
      </c>
      <c r="D381" s="0" t="n">
        <v>137</v>
      </c>
      <c r="E381" s="0" t="n">
        <v>29</v>
      </c>
      <c r="F381" s="0" t="n">
        <v>13</v>
      </c>
      <c r="G381" s="0" t="n">
        <v>9</v>
      </c>
      <c r="H381" s="0" t="n">
        <v>2</v>
      </c>
      <c r="I381" s="0" t="n">
        <v>9273.34</v>
      </c>
      <c r="J381" s="0" t="n">
        <v>1149.83</v>
      </c>
    </row>
    <row r="382" customFormat="false" ht="15" hidden="false" customHeight="false" outlineLevel="0" collapsed="false">
      <c r="A382" s="0" t="s">
        <v>65</v>
      </c>
      <c r="B382" s="0" t="s">
        <v>15</v>
      </c>
      <c r="C382" s="0" t="n">
        <v>5003</v>
      </c>
      <c r="D382" s="0" t="n">
        <v>110</v>
      </c>
      <c r="E382" s="0" t="n">
        <v>22</v>
      </c>
      <c r="F382" s="0" t="n">
        <v>14</v>
      </c>
      <c r="G382" s="0" t="n">
        <v>10</v>
      </c>
      <c r="H382" s="0" t="n">
        <v>3</v>
      </c>
      <c r="I382" s="0" t="n">
        <v>37780.51</v>
      </c>
      <c r="J382" s="0" t="n">
        <v>3448.51</v>
      </c>
    </row>
    <row r="383" customFormat="false" ht="15" hidden="false" customHeight="false" outlineLevel="0" collapsed="false">
      <c r="A383" s="0" t="s">
        <v>65</v>
      </c>
      <c r="B383" s="0" t="s">
        <v>16</v>
      </c>
      <c r="C383" s="0" t="n">
        <v>9578</v>
      </c>
      <c r="D383" s="0" t="n">
        <v>484</v>
      </c>
      <c r="E383" s="0" t="n">
        <v>104</v>
      </c>
      <c r="F383" s="0" t="n">
        <v>57</v>
      </c>
      <c r="G383" s="0" t="n">
        <v>40</v>
      </c>
      <c r="H383" s="0" t="n">
        <v>15</v>
      </c>
      <c r="I383" s="0" t="n">
        <v>133584.18</v>
      </c>
      <c r="J383" s="0" t="n">
        <v>1119.74</v>
      </c>
    </row>
    <row r="384" customFormat="false" ht="15" hidden="false" customHeight="false" outlineLevel="0" collapsed="false">
      <c r="A384" s="0" t="s">
        <v>65</v>
      </c>
      <c r="B384" s="0" t="s">
        <v>17</v>
      </c>
      <c r="C384" s="0" t="n">
        <v>2810</v>
      </c>
      <c r="D384" s="0" t="n">
        <v>302</v>
      </c>
      <c r="E384" s="0" t="n">
        <v>123</v>
      </c>
      <c r="F384" s="0" t="n">
        <v>91</v>
      </c>
      <c r="G384" s="0" t="n">
        <v>73</v>
      </c>
      <c r="H384" s="0" t="n">
        <v>29</v>
      </c>
      <c r="I384" s="0" t="n">
        <v>257257.44</v>
      </c>
      <c r="J384" s="0" t="n">
        <v>663.82</v>
      </c>
    </row>
    <row r="385" customFormat="false" ht="15" hidden="false" customHeight="false" outlineLevel="0" collapsed="false">
      <c r="A385" s="0" t="s">
        <v>65</v>
      </c>
      <c r="B385" s="0" t="s">
        <v>18</v>
      </c>
      <c r="C385" s="0" t="n">
        <v>9539</v>
      </c>
      <c r="D385" s="0" t="n">
        <v>146</v>
      </c>
      <c r="E385" s="0" t="n">
        <v>22</v>
      </c>
      <c r="F385" s="0" t="n">
        <v>10</v>
      </c>
      <c r="G385" s="0" t="n">
        <v>6</v>
      </c>
      <c r="H385" s="0" t="n">
        <v>1</v>
      </c>
      <c r="I385" s="0" t="n">
        <v>5220.01</v>
      </c>
      <c r="J385" s="0" t="n">
        <v>2491.68</v>
      </c>
    </row>
    <row r="386" customFormat="false" ht="15" hidden="false" customHeight="false" outlineLevel="0" collapsed="false">
      <c r="A386" s="0" t="s">
        <v>66</v>
      </c>
      <c r="B386" s="0" t="s">
        <v>11</v>
      </c>
      <c r="C386" s="0" t="n">
        <v>4293</v>
      </c>
      <c r="D386" s="0" t="n">
        <v>473</v>
      </c>
      <c r="E386" s="0" t="n">
        <v>176</v>
      </c>
      <c r="F386" s="0" t="n">
        <v>96</v>
      </c>
      <c r="G386" s="0" t="n">
        <v>77</v>
      </c>
      <c r="H386" s="0" t="n">
        <v>27</v>
      </c>
      <c r="I386" s="0" t="n">
        <v>148069.19</v>
      </c>
      <c r="J386" s="0" t="n">
        <v>1850.88</v>
      </c>
    </row>
    <row r="387" customFormat="false" ht="15" hidden="false" customHeight="false" outlineLevel="0" collapsed="false">
      <c r="A387" s="0" t="s">
        <v>66</v>
      </c>
      <c r="B387" s="0" t="s">
        <v>12</v>
      </c>
      <c r="C387" s="0" t="n">
        <v>16838</v>
      </c>
      <c r="D387" s="0" t="n">
        <v>475</v>
      </c>
      <c r="E387" s="0" t="n">
        <v>80</v>
      </c>
      <c r="F387" s="0" t="n">
        <v>39</v>
      </c>
      <c r="G387" s="0" t="n">
        <v>29</v>
      </c>
      <c r="H387" s="0" t="n">
        <v>7</v>
      </c>
      <c r="I387" s="0" t="n">
        <v>28215.53</v>
      </c>
      <c r="J387" s="0" t="n">
        <v>5157.1</v>
      </c>
    </row>
    <row r="388" customFormat="false" ht="15" hidden="false" customHeight="false" outlineLevel="0" collapsed="false">
      <c r="A388" s="0" t="s">
        <v>66</v>
      </c>
      <c r="B388" s="0" t="s">
        <v>13</v>
      </c>
      <c r="C388" s="0" t="n">
        <v>8129</v>
      </c>
      <c r="D388" s="0" t="n">
        <v>309</v>
      </c>
      <c r="E388" s="0" t="n">
        <v>80</v>
      </c>
      <c r="F388" s="0" t="n">
        <v>50</v>
      </c>
      <c r="G388" s="0" t="n">
        <v>42</v>
      </c>
      <c r="H388" s="0" t="n">
        <v>10</v>
      </c>
      <c r="I388" s="0" t="n">
        <v>78342.09</v>
      </c>
      <c r="J388" s="0" t="n">
        <v>4804.42</v>
      </c>
    </row>
    <row r="389" customFormat="false" ht="15" hidden="false" customHeight="false" outlineLevel="0" collapsed="false">
      <c r="A389" s="0" t="s">
        <v>66</v>
      </c>
      <c r="B389" s="0" t="s">
        <v>14</v>
      </c>
      <c r="C389" s="0" t="n">
        <v>13412</v>
      </c>
      <c r="D389" s="0" t="n">
        <v>215</v>
      </c>
      <c r="E389" s="0" t="n">
        <v>36</v>
      </c>
      <c r="F389" s="0" t="n">
        <v>18</v>
      </c>
      <c r="G389" s="0" t="n">
        <v>12</v>
      </c>
      <c r="H389" s="0" t="n">
        <v>3</v>
      </c>
      <c r="I389" s="0" t="n">
        <v>15434.76</v>
      </c>
      <c r="J389" s="0" t="n">
        <v>1788.75</v>
      </c>
    </row>
    <row r="390" customFormat="false" ht="15" hidden="false" customHeight="false" outlineLevel="0" collapsed="false">
      <c r="A390" s="0" t="s">
        <v>66</v>
      </c>
      <c r="B390" s="0" t="s">
        <v>15</v>
      </c>
      <c r="C390" s="0" t="n">
        <v>5908</v>
      </c>
      <c r="D390" s="0" t="n">
        <v>130</v>
      </c>
      <c r="E390" s="0" t="n">
        <v>23</v>
      </c>
      <c r="F390" s="0" t="n">
        <v>15</v>
      </c>
      <c r="G390" s="0" t="n">
        <v>10</v>
      </c>
      <c r="H390" s="0" t="n">
        <v>3</v>
      </c>
      <c r="I390" s="0" t="n">
        <v>36510.31</v>
      </c>
      <c r="J390" s="0" t="n">
        <v>6277.83</v>
      </c>
    </row>
    <row r="391" customFormat="false" ht="15" hidden="false" customHeight="false" outlineLevel="0" collapsed="false">
      <c r="A391" s="0" t="s">
        <v>66</v>
      </c>
      <c r="B391" s="0" t="s">
        <v>16</v>
      </c>
      <c r="C391" s="0" t="n">
        <v>12426</v>
      </c>
      <c r="D391" s="0" t="n">
        <v>542</v>
      </c>
      <c r="E391" s="0" t="n">
        <v>117</v>
      </c>
      <c r="F391" s="0" t="n">
        <v>68</v>
      </c>
      <c r="G391" s="0" t="n">
        <v>52</v>
      </c>
      <c r="H391" s="0" t="n">
        <v>18</v>
      </c>
      <c r="I391" s="0" t="n">
        <v>119577.95</v>
      </c>
      <c r="J391" s="0" t="n">
        <v>811.24</v>
      </c>
    </row>
    <row r="392" customFormat="false" ht="15" hidden="false" customHeight="false" outlineLevel="0" collapsed="false">
      <c r="A392" s="0" t="s">
        <v>66</v>
      </c>
      <c r="B392" s="0" t="s">
        <v>17</v>
      </c>
      <c r="C392" s="0" t="n">
        <v>1812</v>
      </c>
      <c r="D392" s="0" t="n">
        <v>226</v>
      </c>
      <c r="E392" s="0" t="n">
        <v>91</v>
      </c>
      <c r="F392" s="0" t="n">
        <v>63</v>
      </c>
      <c r="G392" s="0" t="n">
        <v>53</v>
      </c>
      <c r="H392" s="0" t="n">
        <v>24</v>
      </c>
      <c r="I392" s="0" t="n">
        <v>173842.74</v>
      </c>
      <c r="J392" s="0" t="n">
        <v>530.14</v>
      </c>
    </row>
    <row r="393" customFormat="false" ht="15" hidden="false" customHeight="false" outlineLevel="0" collapsed="false">
      <c r="A393" s="0" t="s">
        <v>66</v>
      </c>
      <c r="B393" s="0" t="s">
        <v>18</v>
      </c>
      <c r="C393" s="0" t="n">
        <v>11660</v>
      </c>
      <c r="D393" s="0" t="n">
        <v>312</v>
      </c>
      <c r="E393" s="0" t="n">
        <v>64</v>
      </c>
      <c r="F393" s="0" t="n">
        <v>30</v>
      </c>
      <c r="G393" s="0" t="n">
        <v>22</v>
      </c>
      <c r="H393" s="0" t="n">
        <v>4</v>
      </c>
      <c r="I393" s="0" t="n">
        <v>20934.27</v>
      </c>
      <c r="J393" s="0" t="n">
        <v>3744.88</v>
      </c>
    </row>
    <row r="394" customFormat="false" ht="15" hidden="false" customHeight="false" outlineLevel="0" collapsed="false">
      <c r="A394" s="0" t="s">
        <v>67</v>
      </c>
      <c r="B394" s="0" t="s">
        <v>11</v>
      </c>
      <c r="C394" s="0" t="n">
        <v>6822</v>
      </c>
      <c r="D394" s="0" t="n">
        <v>741</v>
      </c>
      <c r="E394" s="0" t="n">
        <v>270</v>
      </c>
      <c r="F394" s="0" t="n">
        <v>155</v>
      </c>
      <c r="G394" s="0" t="n">
        <v>118</v>
      </c>
      <c r="H394" s="0" t="n">
        <v>37</v>
      </c>
      <c r="I394" s="0" t="n">
        <v>198737.86</v>
      </c>
      <c r="J394" s="0" t="n">
        <v>1638.7</v>
      </c>
    </row>
    <row r="395" customFormat="false" ht="15" hidden="false" customHeight="false" outlineLevel="0" collapsed="false">
      <c r="A395" s="0" t="s">
        <v>67</v>
      </c>
      <c r="B395" s="0" t="s">
        <v>12</v>
      </c>
      <c r="C395" s="0" t="n">
        <v>11226</v>
      </c>
      <c r="D395" s="0" t="n">
        <v>230</v>
      </c>
      <c r="E395" s="0" t="n">
        <v>55</v>
      </c>
      <c r="F395" s="0" t="n">
        <v>27</v>
      </c>
      <c r="G395" s="0" t="n">
        <v>20</v>
      </c>
      <c r="H395" s="0" t="n">
        <v>4</v>
      </c>
      <c r="I395" s="0" t="n">
        <v>17987.07</v>
      </c>
      <c r="J395" s="0" t="n">
        <v>2854.7</v>
      </c>
    </row>
    <row r="396" customFormat="false" ht="15" hidden="false" customHeight="false" outlineLevel="0" collapsed="false">
      <c r="A396" s="0" t="s">
        <v>67</v>
      </c>
      <c r="B396" s="0" t="s">
        <v>13</v>
      </c>
      <c r="C396" s="0" t="n">
        <v>12428</v>
      </c>
      <c r="D396" s="0" t="n">
        <v>647</v>
      </c>
      <c r="E396" s="0" t="n">
        <v>163</v>
      </c>
      <c r="F396" s="0" t="n">
        <v>83</v>
      </c>
      <c r="G396" s="0" t="n">
        <v>62</v>
      </c>
      <c r="H396" s="0" t="n">
        <v>21</v>
      </c>
      <c r="I396" s="0" t="n">
        <v>138914.91</v>
      </c>
      <c r="J396" s="0" t="n">
        <v>12839.38</v>
      </c>
    </row>
    <row r="397" customFormat="false" ht="15" hidden="false" customHeight="false" outlineLevel="0" collapsed="false">
      <c r="A397" s="0" t="s">
        <v>67</v>
      </c>
      <c r="B397" s="0" t="s">
        <v>14</v>
      </c>
      <c r="C397" s="0" t="n">
        <v>14760</v>
      </c>
      <c r="D397" s="0" t="n">
        <v>278</v>
      </c>
      <c r="E397" s="0" t="n">
        <v>47</v>
      </c>
      <c r="F397" s="0" t="n">
        <v>22</v>
      </c>
      <c r="G397" s="0" t="n">
        <v>16</v>
      </c>
      <c r="H397" s="0" t="n">
        <v>2</v>
      </c>
      <c r="I397" s="0" t="n">
        <v>8769.53</v>
      </c>
      <c r="J397" s="0" t="n">
        <v>3550.95</v>
      </c>
    </row>
    <row r="398" customFormat="false" ht="15" hidden="false" customHeight="false" outlineLevel="0" collapsed="false">
      <c r="A398" s="0" t="s">
        <v>67</v>
      </c>
      <c r="B398" s="0" t="s">
        <v>15</v>
      </c>
      <c r="C398" s="0" t="n">
        <v>3775</v>
      </c>
      <c r="D398" s="0" t="n">
        <v>77</v>
      </c>
      <c r="E398" s="0" t="n">
        <v>16</v>
      </c>
      <c r="F398" s="0" t="n">
        <v>10</v>
      </c>
      <c r="G398" s="0" t="n">
        <v>7</v>
      </c>
      <c r="H398" s="0" t="n">
        <v>2</v>
      </c>
      <c r="I398" s="0" t="n">
        <v>21053.93</v>
      </c>
      <c r="J398" s="0" t="n">
        <v>3737.75</v>
      </c>
    </row>
    <row r="399" customFormat="false" ht="15" hidden="false" customHeight="false" outlineLevel="0" collapsed="false">
      <c r="A399" s="0" t="s">
        <v>67</v>
      </c>
      <c r="B399" s="0" t="s">
        <v>16</v>
      </c>
      <c r="C399" s="0" t="n">
        <v>11977</v>
      </c>
      <c r="D399" s="0" t="n">
        <v>901</v>
      </c>
      <c r="E399" s="0" t="n">
        <v>238</v>
      </c>
      <c r="F399" s="0" t="n">
        <v>135</v>
      </c>
      <c r="G399" s="0" t="n">
        <v>93</v>
      </c>
      <c r="H399" s="0" t="n">
        <v>35</v>
      </c>
      <c r="I399" s="0" t="n">
        <v>236245.48</v>
      </c>
      <c r="J399" s="0" t="n">
        <v>1459.27</v>
      </c>
    </row>
    <row r="400" customFormat="false" ht="15" hidden="false" customHeight="false" outlineLevel="0" collapsed="false">
      <c r="A400" s="0" t="s">
        <v>67</v>
      </c>
      <c r="B400" s="0" t="s">
        <v>17</v>
      </c>
      <c r="C400" s="0" t="n">
        <v>2545</v>
      </c>
      <c r="D400" s="0" t="n">
        <v>390</v>
      </c>
      <c r="E400" s="0" t="n">
        <v>169</v>
      </c>
      <c r="F400" s="0" t="n">
        <v>115</v>
      </c>
      <c r="G400" s="0" t="n">
        <v>99</v>
      </c>
      <c r="H400" s="0" t="n">
        <v>47</v>
      </c>
      <c r="I400" s="0" t="n">
        <v>457844.17</v>
      </c>
      <c r="J400" s="0" t="n">
        <v>630.08</v>
      </c>
    </row>
    <row r="401" customFormat="false" ht="15" hidden="false" customHeight="false" outlineLevel="0" collapsed="false">
      <c r="A401" s="0" t="s">
        <v>67</v>
      </c>
      <c r="B401" s="0" t="s">
        <v>18</v>
      </c>
      <c r="C401" s="0" t="n">
        <v>11669</v>
      </c>
      <c r="D401" s="0" t="n">
        <v>192</v>
      </c>
      <c r="E401" s="0" t="n">
        <v>33</v>
      </c>
      <c r="F401" s="0" t="n">
        <v>14</v>
      </c>
      <c r="G401" s="0" t="n">
        <v>10</v>
      </c>
      <c r="H401" s="0" t="n">
        <v>2</v>
      </c>
      <c r="I401" s="0" t="n">
        <v>9570.92</v>
      </c>
      <c r="J401" s="0" t="n">
        <v>2116.93</v>
      </c>
    </row>
    <row r="402" customFormat="false" ht="15" hidden="false" customHeight="false" outlineLevel="0" collapsed="false">
      <c r="A402" s="0" t="s">
        <v>68</v>
      </c>
      <c r="B402" s="0" t="s">
        <v>11</v>
      </c>
      <c r="C402" s="0" t="n">
        <v>4226</v>
      </c>
      <c r="D402" s="0" t="n">
        <v>355</v>
      </c>
      <c r="E402" s="0" t="n">
        <v>120</v>
      </c>
      <c r="F402" s="0" t="n">
        <v>68</v>
      </c>
      <c r="G402" s="0" t="n">
        <v>52</v>
      </c>
      <c r="H402" s="0" t="n">
        <v>20</v>
      </c>
      <c r="I402" s="0" t="n">
        <v>122275.14</v>
      </c>
      <c r="J402" s="0" t="n">
        <v>1366.36</v>
      </c>
    </row>
    <row r="403" customFormat="false" ht="15" hidden="false" customHeight="false" outlineLevel="0" collapsed="false">
      <c r="A403" s="0" t="s">
        <v>68</v>
      </c>
      <c r="B403" s="0" t="s">
        <v>12</v>
      </c>
      <c r="C403" s="0" t="n">
        <v>13270</v>
      </c>
      <c r="D403" s="0" t="n">
        <v>320</v>
      </c>
      <c r="E403" s="0" t="n">
        <v>53</v>
      </c>
      <c r="F403" s="0" t="n">
        <v>26</v>
      </c>
      <c r="G403" s="0" t="n">
        <v>17</v>
      </c>
      <c r="H403" s="0" t="n">
        <v>4</v>
      </c>
      <c r="I403" s="0" t="n">
        <v>16940.41</v>
      </c>
      <c r="J403" s="0" t="n">
        <v>3074.3</v>
      </c>
    </row>
    <row r="404" customFormat="false" ht="15" hidden="false" customHeight="false" outlineLevel="0" collapsed="false">
      <c r="A404" s="0" t="s">
        <v>68</v>
      </c>
      <c r="B404" s="0" t="s">
        <v>13</v>
      </c>
      <c r="C404" s="0" t="n">
        <v>10533</v>
      </c>
      <c r="D404" s="0" t="n">
        <v>474</v>
      </c>
      <c r="E404" s="0" t="n">
        <v>103</v>
      </c>
      <c r="F404" s="0" t="n">
        <v>64</v>
      </c>
      <c r="G404" s="0" t="n">
        <v>51</v>
      </c>
      <c r="H404" s="0" t="n">
        <v>17</v>
      </c>
      <c r="I404" s="0" t="n">
        <v>123166.15</v>
      </c>
      <c r="J404" s="0" t="n">
        <v>10706.54</v>
      </c>
    </row>
    <row r="405" customFormat="false" ht="15" hidden="false" customHeight="false" outlineLevel="0" collapsed="false">
      <c r="A405" s="0" t="s">
        <v>68</v>
      </c>
      <c r="B405" s="0" t="s">
        <v>14</v>
      </c>
      <c r="C405" s="0" t="n">
        <v>8818</v>
      </c>
      <c r="D405" s="0" t="n">
        <v>106</v>
      </c>
      <c r="E405" s="0" t="n">
        <v>20</v>
      </c>
      <c r="F405" s="0" t="n">
        <v>9</v>
      </c>
      <c r="G405" s="0" t="n">
        <v>6</v>
      </c>
      <c r="H405" s="0" t="n">
        <v>1</v>
      </c>
      <c r="I405" s="0" t="n">
        <v>3838.26</v>
      </c>
      <c r="J405" s="0" t="n">
        <v>804</v>
      </c>
    </row>
    <row r="406" customFormat="false" ht="15" hidden="false" customHeight="false" outlineLevel="0" collapsed="false">
      <c r="A406" s="0" t="s">
        <v>68</v>
      </c>
      <c r="B406" s="0" t="s">
        <v>15</v>
      </c>
      <c r="C406" s="0" t="n">
        <v>2662</v>
      </c>
      <c r="D406" s="0" t="n">
        <v>100</v>
      </c>
      <c r="E406" s="0" t="n">
        <v>20</v>
      </c>
      <c r="F406" s="0" t="n">
        <v>13</v>
      </c>
      <c r="G406" s="0" t="n">
        <v>9</v>
      </c>
      <c r="H406" s="0" t="n">
        <v>2</v>
      </c>
      <c r="I406" s="0" t="n">
        <v>26077.53</v>
      </c>
      <c r="J406" s="0" t="n">
        <v>4038.45</v>
      </c>
    </row>
    <row r="407" customFormat="false" ht="15" hidden="false" customHeight="false" outlineLevel="0" collapsed="false">
      <c r="A407" s="0" t="s">
        <v>68</v>
      </c>
      <c r="B407" s="0" t="s">
        <v>16</v>
      </c>
      <c r="C407" s="0" t="n">
        <v>9741</v>
      </c>
      <c r="D407" s="0" t="n">
        <v>556</v>
      </c>
      <c r="E407" s="0" t="n">
        <v>135</v>
      </c>
      <c r="F407" s="0" t="n">
        <v>76</v>
      </c>
      <c r="G407" s="0" t="n">
        <v>58</v>
      </c>
      <c r="H407" s="0" t="n">
        <v>21</v>
      </c>
      <c r="I407" s="0" t="n">
        <v>151953.36</v>
      </c>
      <c r="J407" s="0" t="n">
        <v>1112.13</v>
      </c>
    </row>
    <row r="408" customFormat="false" ht="15" hidden="false" customHeight="false" outlineLevel="0" collapsed="false">
      <c r="A408" s="0" t="s">
        <v>68</v>
      </c>
      <c r="B408" s="0" t="s">
        <v>17</v>
      </c>
      <c r="C408" s="0" t="n">
        <v>3611</v>
      </c>
      <c r="D408" s="0" t="n">
        <v>589</v>
      </c>
      <c r="E408" s="0" t="n">
        <v>266</v>
      </c>
      <c r="F408" s="0" t="n">
        <v>175</v>
      </c>
      <c r="G408" s="0" t="n">
        <v>147</v>
      </c>
      <c r="H408" s="0" t="n">
        <v>60</v>
      </c>
      <c r="I408" s="0" t="n">
        <v>445711.55</v>
      </c>
      <c r="J408" s="0" t="n">
        <v>986.23</v>
      </c>
    </row>
    <row r="409" customFormat="false" ht="15" hidden="false" customHeight="false" outlineLevel="0" collapsed="false">
      <c r="A409" s="0" t="s">
        <v>68</v>
      </c>
      <c r="B409" s="0" t="s">
        <v>18</v>
      </c>
      <c r="C409" s="0" t="n">
        <v>9844</v>
      </c>
      <c r="D409" s="0" t="n">
        <v>139</v>
      </c>
      <c r="E409" s="0" t="n">
        <v>24</v>
      </c>
      <c r="F409" s="0" t="n">
        <v>11</v>
      </c>
      <c r="G409" s="0" t="n">
        <v>6</v>
      </c>
      <c r="H409" s="0" t="n">
        <v>1</v>
      </c>
      <c r="I409" s="0" t="n">
        <v>4036.25</v>
      </c>
      <c r="J409" s="0" t="n">
        <v>1972.79</v>
      </c>
    </row>
    <row r="410" customFormat="false" ht="15" hidden="false" customHeight="false" outlineLevel="0" collapsed="false">
      <c r="A410" s="0" t="s">
        <v>69</v>
      </c>
      <c r="B410" s="0" t="s">
        <v>11</v>
      </c>
      <c r="C410" s="0" t="n">
        <v>6241</v>
      </c>
      <c r="D410" s="0" t="n">
        <v>531</v>
      </c>
      <c r="E410" s="0" t="n">
        <v>179</v>
      </c>
      <c r="F410" s="0" t="n">
        <v>112</v>
      </c>
      <c r="G410" s="0" t="n">
        <v>88</v>
      </c>
      <c r="H410" s="0" t="n">
        <v>35</v>
      </c>
      <c r="I410" s="0" t="n">
        <v>197481.35</v>
      </c>
      <c r="J410" s="0" t="n">
        <v>1952.58</v>
      </c>
    </row>
    <row r="411" customFormat="false" ht="15" hidden="false" customHeight="false" outlineLevel="0" collapsed="false">
      <c r="A411" s="0" t="s">
        <v>69</v>
      </c>
      <c r="B411" s="0" t="s">
        <v>12</v>
      </c>
      <c r="C411" s="0" t="n">
        <v>16681</v>
      </c>
      <c r="D411" s="0" t="n">
        <v>384</v>
      </c>
      <c r="E411" s="0" t="n">
        <v>89</v>
      </c>
      <c r="F411" s="0" t="n">
        <v>46</v>
      </c>
      <c r="G411" s="0" t="n">
        <v>35</v>
      </c>
      <c r="H411" s="0" t="n">
        <v>8</v>
      </c>
      <c r="I411" s="0" t="n">
        <v>44664.93</v>
      </c>
      <c r="J411" s="0" t="n">
        <v>3968.79</v>
      </c>
    </row>
    <row r="412" customFormat="false" ht="15" hidden="false" customHeight="false" outlineLevel="0" collapsed="false">
      <c r="A412" s="0" t="s">
        <v>69</v>
      </c>
      <c r="B412" s="0" t="s">
        <v>13</v>
      </c>
      <c r="C412" s="0" t="n">
        <v>12927</v>
      </c>
      <c r="D412" s="0" t="n">
        <v>414</v>
      </c>
      <c r="E412" s="0" t="n">
        <v>102</v>
      </c>
      <c r="F412" s="0" t="n">
        <v>59</v>
      </c>
      <c r="G412" s="0" t="n">
        <v>46</v>
      </c>
      <c r="H412" s="0" t="n">
        <v>14</v>
      </c>
      <c r="I412" s="0" t="n">
        <v>70419.11</v>
      </c>
      <c r="J412" s="0" t="n">
        <v>6844.55</v>
      </c>
    </row>
    <row r="413" customFormat="false" ht="15" hidden="false" customHeight="false" outlineLevel="0" collapsed="false">
      <c r="A413" s="0" t="s">
        <v>69</v>
      </c>
      <c r="B413" s="0" t="s">
        <v>14</v>
      </c>
      <c r="C413" s="0" t="n">
        <v>11964</v>
      </c>
      <c r="D413" s="0" t="n">
        <v>178</v>
      </c>
      <c r="E413" s="0" t="n">
        <v>36</v>
      </c>
      <c r="F413" s="0" t="n">
        <v>18</v>
      </c>
      <c r="G413" s="0" t="n">
        <v>12</v>
      </c>
      <c r="H413" s="0" t="n">
        <v>2</v>
      </c>
      <c r="I413" s="0" t="n">
        <v>10814.15</v>
      </c>
      <c r="J413" s="0" t="n">
        <v>1729.23</v>
      </c>
    </row>
    <row r="414" customFormat="false" ht="15" hidden="false" customHeight="false" outlineLevel="0" collapsed="false">
      <c r="A414" s="0" t="s">
        <v>69</v>
      </c>
      <c r="B414" s="0" t="s">
        <v>15</v>
      </c>
      <c r="C414" s="0" t="n">
        <v>5607</v>
      </c>
      <c r="D414" s="0" t="n">
        <v>134</v>
      </c>
      <c r="E414" s="0" t="n">
        <v>25</v>
      </c>
      <c r="F414" s="0" t="n">
        <v>18</v>
      </c>
      <c r="G414" s="0" t="n">
        <v>13</v>
      </c>
      <c r="H414" s="0" t="n">
        <v>4</v>
      </c>
      <c r="I414" s="0" t="n">
        <v>41331.29</v>
      </c>
      <c r="J414" s="0" t="n">
        <v>6614.42</v>
      </c>
    </row>
    <row r="415" customFormat="false" ht="15" hidden="false" customHeight="false" outlineLevel="0" collapsed="false">
      <c r="A415" s="0" t="s">
        <v>69</v>
      </c>
      <c r="B415" s="0" t="s">
        <v>16</v>
      </c>
      <c r="C415" s="0" t="n">
        <v>7981</v>
      </c>
      <c r="D415" s="0" t="n">
        <v>431</v>
      </c>
      <c r="E415" s="0" t="n">
        <v>99</v>
      </c>
      <c r="F415" s="0" t="n">
        <v>50</v>
      </c>
      <c r="G415" s="0" t="n">
        <v>36</v>
      </c>
      <c r="H415" s="0" t="n">
        <v>14</v>
      </c>
      <c r="I415" s="0" t="n">
        <v>111582.64</v>
      </c>
      <c r="J415" s="0" t="n">
        <v>1054</v>
      </c>
    </row>
    <row r="416" customFormat="false" ht="15" hidden="false" customHeight="false" outlineLevel="0" collapsed="false">
      <c r="A416" s="0" t="s">
        <v>69</v>
      </c>
      <c r="B416" s="0" t="s">
        <v>17</v>
      </c>
      <c r="C416" s="0" t="n">
        <v>3126</v>
      </c>
      <c r="D416" s="0" t="n">
        <v>315</v>
      </c>
      <c r="E416" s="0" t="n">
        <v>132</v>
      </c>
      <c r="F416" s="0" t="n">
        <v>94</v>
      </c>
      <c r="G416" s="0" t="n">
        <v>77</v>
      </c>
      <c r="H416" s="0" t="n">
        <v>30</v>
      </c>
      <c r="I416" s="0" t="n">
        <v>279552.86</v>
      </c>
      <c r="J416" s="0" t="n">
        <v>821.83</v>
      </c>
    </row>
    <row r="417" customFormat="false" ht="15" hidden="false" customHeight="false" outlineLevel="0" collapsed="false">
      <c r="A417" s="0" t="s">
        <v>69</v>
      </c>
      <c r="B417" s="0" t="s">
        <v>18</v>
      </c>
      <c r="C417" s="0" t="n">
        <v>8838</v>
      </c>
      <c r="D417" s="0" t="n">
        <v>100</v>
      </c>
      <c r="E417" s="0" t="n">
        <v>20</v>
      </c>
      <c r="F417" s="0" t="n">
        <v>8</v>
      </c>
      <c r="G417" s="0" t="n">
        <v>5</v>
      </c>
      <c r="H417" s="0" t="n">
        <v>1</v>
      </c>
      <c r="I417" s="0" t="n">
        <v>5036.02</v>
      </c>
      <c r="J417" s="0" t="n">
        <v>1803</v>
      </c>
    </row>
    <row r="418" customFormat="false" ht="15" hidden="false" customHeight="false" outlineLevel="0" collapsed="false">
      <c r="A418" s="0" t="s">
        <v>70</v>
      </c>
      <c r="B418" s="0" t="s">
        <v>11</v>
      </c>
      <c r="C418" s="0" t="n">
        <v>5934</v>
      </c>
      <c r="D418" s="0" t="n">
        <v>587</v>
      </c>
      <c r="E418" s="0" t="n">
        <v>216</v>
      </c>
      <c r="F418" s="0" t="n">
        <v>124</v>
      </c>
      <c r="G418" s="0" t="n">
        <v>104</v>
      </c>
      <c r="H418" s="0" t="n">
        <v>37</v>
      </c>
      <c r="I418" s="0" t="n">
        <v>204943.88</v>
      </c>
      <c r="J418" s="0" t="n">
        <v>1745.47</v>
      </c>
    </row>
    <row r="419" customFormat="false" ht="15" hidden="false" customHeight="false" outlineLevel="0" collapsed="false">
      <c r="A419" s="0" t="s">
        <v>70</v>
      </c>
      <c r="B419" s="0" t="s">
        <v>12</v>
      </c>
      <c r="C419" s="0" t="n">
        <v>16063</v>
      </c>
      <c r="D419" s="0" t="n">
        <v>423</v>
      </c>
      <c r="E419" s="0" t="n">
        <v>88</v>
      </c>
      <c r="F419" s="0" t="n">
        <v>43</v>
      </c>
      <c r="G419" s="0" t="n">
        <v>33</v>
      </c>
      <c r="H419" s="0" t="n">
        <v>8</v>
      </c>
      <c r="I419" s="0" t="n">
        <v>34503.63</v>
      </c>
      <c r="J419" s="0" t="n">
        <v>5256.51</v>
      </c>
    </row>
    <row r="420" customFormat="false" ht="15" hidden="false" customHeight="false" outlineLevel="0" collapsed="false">
      <c r="A420" s="0" t="s">
        <v>70</v>
      </c>
      <c r="B420" s="0" t="s">
        <v>13</v>
      </c>
      <c r="C420" s="0" t="n">
        <v>5442</v>
      </c>
      <c r="D420" s="0" t="n">
        <v>272</v>
      </c>
      <c r="E420" s="0" t="n">
        <v>71</v>
      </c>
      <c r="F420" s="0" t="n">
        <v>43</v>
      </c>
      <c r="G420" s="0" t="n">
        <v>31</v>
      </c>
      <c r="H420" s="0" t="n">
        <v>8</v>
      </c>
      <c r="I420" s="0" t="n">
        <v>57999.47</v>
      </c>
      <c r="J420" s="0" t="n">
        <v>6229.91</v>
      </c>
    </row>
    <row r="421" customFormat="false" ht="15" hidden="false" customHeight="false" outlineLevel="0" collapsed="false">
      <c r="A421" s="0" t="s">
        <v>70</v>
      </c>
      <c r="B421" s="0" t="s">
        <v>14</v>
      </c>
      <c r="C421" s="0" t="n">
        <v>10381</v>
      </c>
      <c r="D421" s="0" t="n">
        <v>243</v>
      </c>
      <c r="E421" s="0" t="n">
        <v>37</v>
      </c>
      <c r="F421" s="0" t="n">
        <v>15</v>
      </c>
      <c r="G421" s="0" t="n">
        <v>9</v>
      </c>
      <c r="H421" s="0" t="n">
        <v>1</v>
      </c>
      <c r="I421" s="0" t="n">
        <v>4649.7</v>
      </c>
      <c r="J421" s="0" t="n">
        <v>2066.57</v>
      </c>
    </row>
    <row r="422" customFormat="false" ht="15" hidden="false" customHeight="false" outlineLevel="0" collapsed="false">
      <c r="A422" s="0" t="s">
        <v>70</v>
      </c>
      <c r="B422" s="0" t="s">
        <v>15</v>
      </c>
      <c r="C422" s="0" t="n">
        <v>4786</v>
      </c>
      <c r="D422" s="0" t="n">
        <v>144</v>
      </c>
      <c r="E422" s="0" t="n">
        <v>28</v>
      </c>
      <c r="F422" s="0" t="n">
        <v>17</v>
      </c>
      <c r="G422" s="0" t="n">
        <v>13</v>
      </c>
      <c r="H422" s="0" t="n">
        <v>4</v>
      </c>
      <c r="I422" s="0" t="n">
        <v>53190.22</v>
      </c>
      <c r="J422" s="0" t="n">
        <v>6686.87</v>
      </c>
    </row>
    <row r="423" customFormat="false" ht="15" hidden="false" customHeight="false" outlineLevel="0" collapsed="false">
      <c r="A423" s="0" t="s">
        <v>70</v>
      </c>
      <c r="B423" s="0" t="s">
        <v>16</v>
      </c>
      <c r="C423" s="0" t="n">
        <v>6560</v>
      </c>
      <c r="D423" s="0" t="n">
        <v>444</v>
      </c>
      <c r="E423" s="0" t="n">
        <v>96</v>
      </c>
      <c r="F423" s="0" t="n">
        <v>53</v>
      </c>
      <c r="G423" s="0" t="n">
        <v>37</v>
      </c>
      <c r="H423" s="0" t="n">
        <v>15</v>
      </c>
      <c r="I423" s="0" t="n">
        <v>125011.14</v>
      </c>
      <c r="J423" s="0" t="n">
        <v>1167.67</v>
      </c>
    </row>
    <row r="424" customFormat="false" ht="15" hidden="false" customHeight="false" outlineLevel="0" collapsed="false">
      <c r="A424" s="0" t="s">
        <v>70</v>
      </c>
      <c r="B424" s="0" t="s">
        <v>17</v>
      </c>
      <c r="C424" s="0" t="n">
        <v>2790</v>
      </c>
      <c r="D424" s="0" t="n">
        <v>331</v>
      </c>
      <c r="E424" s="0" t="n">
        <v>135</v>
      </c>
      <c r="F424" s="0" t="n">
        <v>97</v>
      </c>
      <c r="G424" s="0" t="n">
        <v>79</v>
      </c>
      <c r="H424" s="0" t="n">
        <v>35</v>
      </c>
      <c r="I424" s="0" t="n">
        <v>272255.53</v>
      </c>
      <c r="J424" s="0" t="n">
        <v>351.62</v>
      </c>
    </row>
    <row r="425" customFormat="false" ht="15" hidden="false" customHeight="false" outlineLevel="0" collapsed="false">
      <c r="A425" s="0" t="s">
        <v>70</v>
      </c>
      <c r="B425" s="0" t="s">
        <v>18</v>
      </c>
      <c r="C425" s="0" t="n">
        <v>4450</v>
      </c>
      <c r="D425" s="0" t="n">
        <v>122</v>
      </c>
      <c r="E425" s="0" t="n">
        <v>20</v>
      </c>
      <c r="F425" s="0" t="n">
        <v>8</v>
      </c>
      <c r="G425" s="0" t="n">
        <v>4</v>
      </c>
      <c r="H425" s="0" t="n">
        <v>0</v>
      </c>
      <c r="I425" s="0" t="n">
        <v>0</v>
      </c>
      <c r="J425" s="0" t="n">
        <v>1614.09</v>
      </c>
    </row>
    <row r="426" customFormat="false" ht="15" hidden="false" customHeight="false" outlineLevel="0" collapsed="false">
      <c r="A426" s="0" t="s">
        <v>71</v>
      </c>
      <c r="B426" s="0" t="s">
        <v>11</v>
      </c>
      <c r="C426" s="0" t="n">
        <v>6107</v>
      </c>
      <c r="D426" s="0" t="n">
        <v>753</v>
      </c>
      <c r="E426" s="0" t="n">
        <v>268</v>
      </c>
      <c r="F426" s="0" t="n">
        <v>164</v>
      </c>
      <c r="G426" s="0" t="n">
        <v>137</v>
      </c>
      <c r="H426" s="0" t="n">
        <v>49</v>
      </c>
      <c r="I426" s="0" t="n">
        <v>342086.56</v>
      </c>
      <c r="J426" s="0" t="n">
        <v>2818.37</v>
      </c>
    </row>
    <row r="427" customFormat="false" ht="15" hidden="false" customHeight="false" outlineLevel="0" collapsed="false">
      <c r="A427" s="0" t="s">
        <v>71</v>
      </c>
      <c r="B427" s="0" t="s">
        <v>12</v>
      </c>
      <c r="C427" s="0" t="n">
        <v>7486</v>
      </c>
      <c r="D427" s="0" t="n">
        <v>122</v>
      </c>
      <c r="E427" s="0" t="n">
        <v>30</v>
      </c>
      <c r="F427" s="0" t="n">
        <v>13</v>
      </c>
      <c r="G427" s="0" t="n">
        <v>9</v>
      </c>
      <c r="H427" s="0" t="n">
        <v>2</v>
      </c>
      <c r="I427" s="0" t="n">
        <v>11990.51</v>
      </c>
      <c r="J427" s="0" t="n">
        <v>1708.75</v>
      </c>
    </row>
    <row r="428" customFormat="false" ht="15" hidden="false" customHeight="false" outlineLevel="0" collapsed="false">
      <c r="A428" s="0" t="s">
        <v>71</v>
      </c>
      <c r="B428" s="0" t="s">
        <v>13</v>
      </c>
      <c r="C428" s="0" t="n">
        <v>11799</v>
      </c>
      <c r="D428" s="0" t="n">
        <v>469</v>
      </c>
      <c r="E428" s="0" t="n">
        <v>136</v>
      </c>
      <c r="F428" s="0" t="n">
        <v>88</v>
      </c>
      <c r="G428" s="0" t="n">
        <v>72</v>
      </c>
      <c r="H428" s="0" t="n">
        <v>24</v>
      </c>
      <c r="I428" s="0" t="n">
        <v>161522.57</v>
      </c>
      <c r="J428" s="0" t="n">
        <v>7733.85</v>
      </c>
    </row>
    <row r="429" customFormat="false" ht="15" hidden="false" customHeight="false" outlineLevel="0" collapsed="false">
      <c r="A429" s="0" t="s">
        <v>71</v>
      </c>
      <c r="B429" s="0" t="s">
        <v>14</v>
      </c>
      <c r="C429" s="0" t="n">
        <v>8207</v>
      </c>
      <c r="D429" s="0" t="n">
        <v>103</v>
      </c>
      <c r="E429" s="0" t="n">
        <v>17</v>
      </c>
      <c r="F429" s="0" t="n">
        <v>6</v>
      </c>
      <c r="G429" s="0" t="n">
        <v>3</v>
      </c>
      <c r="H429" s="0" t="n">
        <v>0</v>
      </c>
      <c r="I429" s="0" t="n">
        <v>0</v>
      </c>
      <c r="J429" s="0" t="n">
        <v>1286.08</v>
      </c>
    </row>
    <row r="430" customFormat="false" ht="15" hidden="false" customHeight="false" outlineLevel="0" collapsed="false">
      <c r="A430" s="0" t="s">
        <v>71</v>
      </c>
      <c r="B430" s="0" t="s">
        <v>15</v>
      </c>
      <c r="C430" s="0" t="n">
        <v>2763</v>
      </c>
      <c r="D430" s="0" t="n">
        <v>91</v>
      </c>
      <c r="E430" s="0" t="n">
        <v>18</v>
      </c>
      <c r="F430" s="0" t="n">
        <v>10</v>
      </c>
      <c r="G430" s="0" t="n">
        <v>8</v>
      </c>
      <c r="H430" s="0" t="n">
        <v>2</v>
      </c>
      <c r="I430" s="0" t="n">
        <v>20389.38</v>
      </c>
      <c r="J430" s="0" t="n">
        <v>4117.39</v>
      </c>
    </row>
    <row r="431" customFormat="false" ht="15" hidden="false" customHeight="false" outlineLevel="0" collapsed="false">
      <c r="A431" s="0" t="s">
        <v>71</v>
      </c>
      <c r="B431" s="0" t="s">
        <v>16</v>
      </c>
      <c r="C431" s="0" t="n">
        <v>10888</v>
      </c>
      <c r="D431" s="0" t="n">
        <v>628</v>
      </c>
      <c r="E431" s="0" t="n">
        <v>161</v>
      </c>
      <c r="F431" s="0" t="n">
        <v>86</v>
      </c>
      <c r="G431" s="0" t="n">
        <v>60</v>
      </c>
      <c r="H431" s="0" t="n">
        <v>24</v>
      </c>
      <c r="I431" s="0" t="n">
        <v>210898.05</v>
      </c>
      <c r="J431" s="0" t="n">
        <v>1793.8</v>
      </c>
    </row>
    <row r="432" customFormat="false" ht="15" hidden="false" customHeight="false" outlineLevel="0" collapsed="false">
      <c r="A432" s="0" t="s">
        <v>71</v>
      </c>
      <c r="B432" s="0" t="s">
        <v>17</v>
      </c>
      <c r="C432" s="0" t="n">
        <v>1721</v>
      </c>
      <c r="D432" s="0" t="n">
        <v>262</v>
      </c>
      <c r="E432" s="0" t="n">
        <v>110</v>
      </c>
      <c r="F432" s="0" t="n">
        <v>82</v>
      </c>
      <c r="G432" s="0" t="n">
        <v>72</v>
      </c>
      <c r="H432" s="0" t="n">
        <v>33</v>
      </c>
      <c r="I432" s="0" t="n">
        <v>301794.92</v>
      </c>
      <c r="J432" s="0" t="n">
        <v>683.51</v>
      </c>
    </row>
    <row r="433" customFormat="false" ht="15" hidden="false" customHeight="false" outlineLevel="0" collapsed="false">
      <c r="A433" s="0" t="s">
        <v>71</v>
      </c>
      <c r="B433" s="0" t="s">
        <v>18</v>
      </c>
      <c r="C433" s="0" t="n">
        <v>7779</v>
      </c>
      <c r="D433" s="0" t="n">
        <v>86</v>
      </c>
      <c r="E433" s="0" t="n">
        <v>15</v>
      </c>
      <c r="F433" s="0" t="n">
        <v>6</v>
      </c>
      <c r="G433" s="0" t="n">
        <v>4</v>
      </c>
      <c r="H433" s="0" t="n">
        <v>0</v>
      </c>
      <c r="I433" s="0" t="n">
        <v>0</v>
      </c>
      <c r="J433" s="0" t="n">
        <v>1669.86</v>
      </c>
    </row>
    <row r="434" customFormat="false" ht="15" hidden="false" customHeight="false" outlineLevel="0" collapsed="false">
      <c r="A434" s="0" t="s">
        <v>72</v>
      </c>
      <c r="B434" s="0" t="s">
        <v>11</v>
      </c>
      <c r="C434" s="0" t="n">
        <v>3158</v>
      </c>
      <c r="D434" s="0" t="n">
        <v>346</v>
      </c>
      <c r="E434" s="0" t="n">
        <v>106</v>
      </c>
      <c r="F434" s="0" t="n">
        <v>64</v>
      </c>
      <c r="G434" s="0" t="n">
        <v>53</v>
      </c>
      <c r="H434" s="0" t="n">
        <v>20</v>
      </c>
      <c r="I434" s="0" t="n">
        <v>108449.27</v>
      </c>
      <c r="J434" s="0" t="n">
        <v>1376.09</v>
      </c>
    </row>
    <row r="435" customFormat="false" ht="15" hidden="false" customHeight="false" outlineLevel="0" collapsed="false">
      <c r="A435" s="0" t="s">
        <v>72</v>
      </c>
      <c r="B435" s="0" t="s">
        <v>12</v>
      </c>
      <c r="C435" s="0" t="n">
        <v>10152</v>
      </c>
      <c r="D435" s="0" t="n">
        <v>259</v>
      </c>
      <c r="E435" s="0" t="n">
        <v>50</v>
      </c>
      <c r="F435" s="0" t="n">
        <v>25</v>
      </c>
      <c r="G435" s="0" t="n">
        <v>19</v>
      </c>
      <c r="H435" s="0" t="n">
        <v>4</v>
      </c>
      <c r="I435" s="0" t="n">
        <v>22232.82</v>
      </c>
      <c r="J435" s="0" t="n">
        <v>2106.71</v>
      </c>
    </row>
    <row r="436" customFormat="false" ht="15" hidden="false" customHeight="false" outlineLevel="0" collapsed="false">
      <c r="A436" s="0" t="s">
        <v>72</v>
      </c>
      <c r="B436" s="0" t="s">
        <v>13</v>
      </c>
      <c r="C436" s="0" t="n">
        <v>10003</v>
      </c>
      <c r="D436" s="0" t="n">
        <v>507</v>
      </c>
      <c r="E436" s="0" t="n">
        <v>136</v>
      </c>
      <c r="F436" s="0" t="n">
        <v>81</v>
      </c>
      <c r="G436" s="0" t="n">
        <v>60</v>
      </c>
      <c r="H436" s="0" t="n">
        <v>15</v>
      </c>
      <c r="I436" s="0" t="n">
        <v>101968.6</v>
      </c>
      <c r="J436" s="0" t="n">
        <v>10322.22</v>
      </c>
    </row>
    <row r="437" customFormat="false" ht="15" hidden="false" customHeight="false" outlineLevel="0" collapsed="false">
      <c r="A437" s="0" t="s">
        <v>72</v>
      </c>
      <c r="B437" s="0" t="s">
        <v>14</v>
      </c>
      <c r="C437" s="0" t="n">
        <v>13706</v>
      </c>
      <c r="D437" s="0" t="n">
        <v>317</v>
      </c>
      <c r="E437" s="0" t="n">
        <v>65</v>
      </c>
      <c r="F437" s="0" t="n">
        <v>32</v>
      </c>
      <c r="G437" s="0" t="n">
        <v>24</v>
      </c>
      <c r="H437" s="0" t="n">
        <v>5</v>
      </c>
      <c r="I437" s="0" t="n">
        <v>23018.87</v>
      </c>
      <c r="J437" s="0" t="n">
        <v>3302.97</v>
      </c>
    </row>
    <row r="438" customFormat="false" ht="15" hidden="false" customHeight="false" outlineLevel="0" collapsed="false">
      <c r="A438" s="0" t="s">
        <v>72</v>
      </c>
      <c r="B438" s="0" t="s">
        <v>15</v>
      </c>
      <c r="C438" s="0" t="n">
        <v>2614</v>
      </c>
      <c r="D438" s="0" t="n">
        <v>82</v>
      </c>
      <c r="E438" s="0" t="n">
        <v>17</v>
      </c>
      <c r="F438" s="0" t="n">
        <v>12</v>
      </c>
      <c r="G438" s="0" t="n">
        <v>9</v>
      </c>
      <c r="H438" s="0" t="n">
        <v>3</v>
      </c>
      <c r="I438" s="0" t="n">
        <v>30779.84</v>
      </c>
      <c r="J438" s="0" t="n">
        <v>3042.08</v>
      </c>
    </row>
    <row r="439" customFormat="false" ht="15" hidden="false" customHeight="false" outlineLevel="0" collapsed="false">
      <c r="A439" s="0" t="s">
        <v>72</v>
      </c>
      <c r="B439" s="0" t="s">
        <v>16</v>
      </c>
      <c r="C439" s="0" t="n">
        <v>13766</v>
      </c>
      <c r="D439" s="0" t="n">
        <v>1038</v>
      </c>
      <c r="E439" s="0" t="n">
        <v>223</v>
      </c>
      <c r="F439" s="0" t="n">
        <v>127</v>
      </c>
      <c r="G439" s="0" t="n">
        <v>90</v>
      </c>
      <c r="H439" s="0" t="n">
        <v>38</v>
      </c>
      <c r="I439" s="0" t="n">
        <v>231422.96</v>
      </c>
      <c r="J439" s="0" t="n">
        <v>3108.27</v>
      </c>
    </row>
    <row r="440" customFormat="false" ht="15" hidden="false" customHeight="false" outlineLevel="0" collapsed="false">
      <c r="A440" s="0" t="s">
        <v>72</v>
      </c>
      <c r="B440" s="0" t="s">
        <v>17</v>
      </c>
      <c r="C440" s="0" t="n">
        <v>3692</v>
      </c>
      <c r="D440" s="0" t="n">
        <v>599</v>
      </c>
      <c r="E440" s="0" t="n">
        <v>297</v>
      </c>
      <c r="F440" s="0" t="n">
        <v>206</v>
      </c>
      <c r="G440" s="0" t="n">
        <v>178</v>
      </c>
      <c r="H440" s="0" t="n">
        <v>72</v>
      </c>
      <c r="I440" s="0" t="n">
        <v>518475.57</v>
      </c>
      <c r="J440" s="0" t="n">
        <v>1000.66</v>
      </c>
    </row>
    <row r="441" customFormat="false" ht="15" hidden="false" customHeight="false" outlineLevel="0" collapsed="false">
      <c r="A441" s="0" t="s">
        <v>72</v>
      </c>
      <c r="B441" s="0" t="s">
        <v>18</v>
      </c>
      <c r="C441" s="0" t="n">
        <v>11827</v>
      </c>
      <c r="D441" s="0" t="n">
        <v>311</v>
      </c>
      <c r="E441" s="0" t="n">
        <v>65</v>
      </c>
      <c r="F441" s="0" t="n">
        <v>31</v>
      </c>
      <c r="G441" s="0" t="n">
        <v>18</v>
      </c>
      <c r="H441" s="0" t="n">
        <v>3</v>
      </c>
      <c r="I441" s="0" t="n">
        <v>13264.76</v>
      </c>
      <c r="J441" s="0" t="n">
        <v>3330.92</v>
      </c>
    </row>
    <row r="442" customFormat="false" ht="15" hidden="false" customHeight="false" outlineLevel="0" collapsed="false">
      <c r="A442" s="0" t="s">
        <v>73</v>
      </c>
      <c r="B442" s="0" t="s">
        <v>11</v>
      </c>
      <c r="C442" s="0" t="n">
        <v>5903</v>
      </c>
      <c r="D442" s="0" t="n">
        <v>681</v>
      </c>
      <c r="E442" s="0" t="n">
        <v>214</v>
      </c>
      <c r="F442" s="0" t="n">
        <v>131</v>
      </c>
      <c r="G442" s="0" t="n">
        <v>101</v>
      </c>
      <c r="H442" s="0" t="n">
        <v>35</v>
      </c>
      <c r="I442" s="0" t="n">
        <v>207170.88</v>
      </c>
      <c r="J442" s="0" t="n">
        <v>1530.08</v>
      </c>
    </row>
    <row r="443" customFormat="false" ht="15" hidden="false" customHeight="false" outlineLevel="0" collapsed="false">
      <c r="A443" s="0" t="s">
        <v>73</v>
      </c>
      <c r="B443" s="0" t="s">
        <v>12</v>
      </c>
      <c r="C443" s="0" t="n">
        <v>19613</v>
      </c>
      <c r="D443" s="0" t="n">
        <v>423</v>
      </c>
      <c r="E443" s="0" t="n">
        <v>75</v>
      </c>
      <c r="F443" s="0" t="n">
        <v>38</v>
      </c>
      <c r="G443" s="0" t="n">
        <v>26</v>
      </c>
      <c r="H443" s="0" t="n">
        <v>5</v>
      </c>
      <c r="I443" s="0" t="n">
        <v>21296.79</v>
      </c>
      <c r="J443" s="0" t="n">
        <v>4072.45</v>
      </c>
    </row>
    <row r="444" customFormat="false" ht="15" hidden="false" customHeight="false" outlineLevel="0" collapsed="false">
      <c r="A444" s="0" t="s">
        <v>73</v>
      </c>
      <c r="B444" s="0" t="s">
        <v>13</v>
      </c>
      <c r="C444" s="0" t="n">
        <v>7293</v>
      </c>
      <c r="D444" s="0" t="n">
        <v>321</v>
      </c>
      <c r="E444" s="0" t="n">
        <v>72</v>
      </c>
      <c r="F444" s="0" t="n">
        <v>37</v>
      </c>
      <c r="G444" s="0" t="n">
        <v>26</v>
      </c>
      <c r="H444" s="0" t="n">
        <v>6</v>
      </c>
      <c r="I444" s="0" t="n">
        <v>43667.27</v>
      </c>
      <c r="J444" s="0" t="n">
        <v>7617.58</v>
      </c>
    </row>
    <row r="445" customFormat="false" ht="15" hidden="false" customHeight="false" outlineLevel="0" collapsed="false">
      <c r="A445" s="0" t="s">
        <v>73</v>
      </c>
      <c r="B445" s="0" t="s">
        <v>14</v>
      </c>
      <c r="C445" s="0" t="n">
        <v>9821</v>
      </c>
      <c r="D445" s="0" t="n">
        <v>173</v>
      </c>
      <c r="E445" s="0" t="n">
        <v>32</v>
      </c>
      <c r="F445" s="0" t="n">
        <v>12</v>
      </c>
      <c r="G445" s="0" t="n">
        <v>7</v>
      </c>
      <c r="H445" s="0" t="n">
        <v>1</v>
      </c>
      <c r="I445" s="0" t="n">
        <v>4485.29</v>
      </c>
      <c r="J445" s="0" t="n">
        <v>1388.92</v>
      </c>
    </row>
    <row r="446" customFormat="false" ht="15" hidden="false" customHeight="false" outlineLevel="0" collapsed="false">
      <c r="A446" s="0" t="s">
        <v>73</v>
      </c>
      <c r="B446" s="0" t="s">
        <v>15</v>
      </c>
      <c r="C446" s="0" t="n">
        <v>5458</v>
      </c>
      <c r="D446" s="0" t="n">
        <v>126</v>
      </c>
      <c r="E446" s="0" t="n">
        <v>23</v>
      </c>
      <c r="F446" s="0" t="n">
        <v>15</v>
      </c>
      <c r="G446" s="0" t="n">
        <v>11</v>
      </c>
      <c r="H446" s="0" t="n">
        <v>3</v>
      </c>
      <c r="I446" s="0" t="n">
        <v>32057.23</v>
      </c>
      <c r="J446" s="0" t="n">
        <v>5805.59</v>
      </c>
    </row>
    <row r="447" customFormat="false" ht="15" hidden="false" customHeight="false" outlineLevel="0" collapsed="false">
      <c r="A447" s="0" t="s">
        <v>73</v>
      </c>
      <c r="B447" s="0" t="s">
        <v>16</v>
      </c>
      <c r="C447" s="0" t="n">
        <v>8758</v>
      </c>
      <c r="D447" s="0" t="n">
        <v>638</v>
      </c>
      <c r="E447" s="0" t="n">
        <v>130</v>
      </c>
      <c r="F447" s="0" t="n">
        <v>70</v>
      </c>
      <c r="G447" s="0" t="n">
        <v>51</v>
      </c>
      <c r="H447" s="0" t="n">
        <v>21</v>
      </c>
      <c r="I447" s="0" t="n">
        <v>168034.38</v>
      </c>
      <c r="J447" s="0" t="n">
        <v>1370.79</v>
      </c>
    </row>
    <row r="448" customFormat="false" ht="15" hidden="false" customHeight="false" outlineLevel="0" collapsed="false">
      <c r="A448" s="0" t="s">
        <v>73</v>
      </c>
      <c r="B448" s="0" t="s">
        <v>17</v>
      </c>
      <c r="C448" s="0" t="n">
        <v>3331</v>
      </c>
      <c r="D448" s="0" t="n">
        <v>620</v>
      </c>
      <c r="E448" s="0" t="n">
        <v>267</v>
      </c>
      <c r="F448" s="0" t="n">
        <v>187</v>
      </c>
      <c r="G448" s="0" t="n">
        <v>161</v>
      </c>
      <c r="H448" s="0" t="n">
        <v>80</v>
      </c>
      <c r="I448" s="0" t="n">
        <v>649152.14</v>
      </c>
      <c r="J448" s="0" t="n">
        <v>1723</v>
      </c>
    </row>
    <row r="449" customFormat="false" ht="15" hidden="false" customHeight="false" outlineLevel="0" collapsed="false">
      <c r="A449" s="0" t="s">
        <v>73</v>
      </c>
      <c r="B449" s="0" t="s">
        <v>18</v>
      </c>
      <c r="C449" s="0" t="n">
        <v>6366</v>
      </c>
      <c r="D449" s="0" t="n">
        <v>125</v>
      </c>
      <c r="E449" s="0" t="n">
        <v>25</v>
      </c>
      <c r="F449" s="0" t="n">
        <v>10</v>
      </c>
      <c r="G449" s="0" t="n">
        <v>6</v>
      </c>
      <c r="H449" s="0" t="n">
        <v>1</v>
      </c>
      <c r="I449" s="0" t="n">
        <v>5719.59</v>
      </c>
      <c r="J449" s="0" t="n">
        <v>1701.75</v>
      </c>
    </row>
    <row r="450" customFormat="false" ht="15" hidden="false" customHeight="false" outlineLevel="0" collapsed="false">
      <c r="A450" s="0" t="s">
        <v>74</v>
      </c>
      <c r="B450" s="0" t="s">
        <v>11</v>
      </c>
      <c r="C450" s="0" t="n">
        <v>5783</v>
      </c>
      <c r="D450" s="0" t="n">
        <v>804</v>
      </c>
      <c r="E450" s="0" t="n">
        <v>305</v>
      </c>
      <c r="F450" s="0" t="n">
        <v>173</v>
      </c>
      <c r="G450" s="0" t="n">
        <v>141</v>
      </c>
      <c r="H450" s="0" t="n">
        <v>45</v>
      </c>
      <c r="I450" s="0" t="n">
        <v>303666.46</v>
      </c>
      <c r="J450" s="0" t="n">
        <v>2134.32</v>
      </c>
    </row>
    <row r="451" customFormat="false" ht="15" hidden="false" customHeight="false" outlineLevel="0" collapsed="false">
      <c r="A451" s="0" t="s">
        <v>74</v>
      </c>
      <c r="B451" s="0" t="s">
        <v>12</v>
      </c>
      <c r="C451" s="0" t="n">
        <v>14812</v>
      </c>
      <c r="D451" s="0" t="n">
        <v>350</v>
      </c>
      <c r="E451" s="0" t="n">
        <v>69</v>
      </c>
      <c r="F451" s="0" t="n">
        <v>34</v>
      </c>
      <c r="G451" s="0" t="n">
        <v>23</v>
      </c>
      <c r="H451" s="0" t="n">
        <v>5</v>
      </c>
      <c r="I451" s="0" t="n">
        <v>26616.67</v>
      </c>
      <c r="J451" s="0" t="n">
        <v>3711.82</v>
      </c>
    </row>
    <row r="452" customFormat="false" ht="15" hidden="false" customHeight="false" outlineLevel="0" collapsed="false">
      <c r="A452" s="0" t="s">
        <v>74</v>
      </c>
      <c r="B452" s="0" t="s">
        <v>13</v>
      </c>
      <c r="C452" s="0" t="n">
        <v>9068</v>
      </c>
      <c r="D452" s="0" t="n">
        <v>361</v>
      </c>
      <c r="E452" s="0" t="n">
        <v>88</v>
      </c>
      <c r="F452" s="0" t="n">
        <v>54</v>
      </c>
      <c r="G452" s="0" t="n">
        <v>38</v>
      </c>
      <c r="H452" s="0" t="n">
        <v>10</v>
      </c>
      <c r="I452" s="0" t="n">
        <v>55264.75</v>
      </c>
      <c r="J452" s="0" t="n">
        <v>8488.72</v>
      </c>
    </row>
    <row r="453" customFormat="false" ht="15" hidden="false" customHeight="false" outlineLevel="0" collapsed="false">
      <c r="A453" s="0" t="s">
        <v>74</v>
      </c>
      <c r="B453" s="0" t="s">
        <v>14</v>
      </c>
      <c r="C453" s="0" t="n">
        <v>8553</v>
      </c>
      <c r="D453" s="0" t="n">
        <v>180</v>
      </c>
      <c r="E453" s="0" t="n">
        <v>26</v>
      </c>
      <c r="F453" s="0" t="n">
        <v>10</v>
      </c>
      <c r="G453" s="0" t="n">
        <v>6</v>
      </c>
      <c r="H453" s="0" t="n">
        <v>1</v>
      </c>
      <c r="I453" s="0" t="n">
        <v>4371.42</v>
      </c>
      <c r="J453" s="0" t="n">
        <v>2300.4</v>
      </c>
    </row>
    <row r="454" customFormat="false" ht="15" hidden="false" customHeight="false" outlineLevel="0" collapsed="false">
      <c r="A454" s="0" t="s">
        <v>74</v>
      </c>
      <c r="B454" s="0" t="s">
        <v>15</v>
      </c>
      <c r="C454" s="0" t="n">
        <v>5708</v>
      </c>
      <c r="D454" s="0" t="n">
        <v>224</v>
      </c>
      <c r="E454" s="0" t="n">
        <v>53</v>
      </c>
      <c r="F454" s="0" t="n">
        <v>32</v>
      </c>
      <c r="G454" s="0" t="n">
        <v>24</v>
      </c>
      <c r="H454" s="0" t="n">
        <v>9</v>
      </c>
      <c r="I454" s="0" t="n">
        <v>93915.77</v>
      </c>
      <c r="J454" s="0" t="n">
        <v>8365.91</v>
      </c>
    </row>
    <row r="455" customFormat="false" ht="15" hidden="false" customHeight="false" outlineLevel="0" collapsed="false">
      <c r="A455" s="0" t="s">
        <v>74</v>
      </c>
      <c r="B455" s="0" t="s">
        <v>16</v>
      </c>
      <c r="C455" s="0" t="n">
        <v>8247</v>
      </c>
      <c r="D455" s="0" t="n">
        <v>416</v>
      </c>
      <c r="E455" s="0" t="n">
        <v>83</v>
      </c>
      <c r="F455" s="0" t="n">
        <v>48</v>
      </c>
      <c r="G455" s="0" t="n">
        <v>37</v>
      </c>
      <c r="H455" s="0" t="n">
        <v>15</v>
      </c>
      <c r="I455" s="0" t="n">
        <v>96842.19</v>
      </c>
      <c r="J455" s="0" t="n">
        <v>1040.22</v>
      </c>
    </row>
    <row r="456" customFormat="false" ht="15" hidden="false" customHeight="false" outlineLevel="0" collapsed="false">
      <c r="A456" s="0" t="s">
        <v>74</v>
      </c>
      <c r="B456" s="0" t="s">
        <v>17</v>
      </c>
      <c r="C456" s="0" t="n">
        <v>2374</v>
      </c>
      <c r="D456" s="0" t="n">
        <v>320</v>
      </c>
      <c r="E456" s="0" t="n">
        <v>131</v>
      </c>
      <c r="F456" s="0" t="n">
        <v>91</v>
      </c>
      <c r="G456" s="0" t="n">
        <v>79</v>
      </c>
      <c r="H456" s="0" t="n">
        <v>31</v>
      </c>
      <c r="I456" s="0" t="n">
        <v>236301.31</v>
      </c>
      <c r="J456" s="0" t="n">
        <v>506.53</v>
      </c>
    </row>
    <row r="457" customFormat="false" ht="15" hidden="false" customHeight="false" outlineLevel="0" collapsed="false">
      <c r="A457" s="0" t="s">
        <v>74</v>
      </c>
      <c r="B457" s="0" t="s">
        <v>18</v>
      </c>
      <c r="C457" s="0" t="n">
        <v>6667</v>
      </c>
      <c r="D457" s="0" t="n">
        <v>187</v>
      </c>
      <c r="E457" s="0" t="n">
        <v>34</v>
      </c>
      <c r="F457" s="0" t="n">
        <v>14</v>
      </c>
      <c r="G457" s="0" t="n">
        <v>9</v>
      </c>
      <c r="H457" s="0" t="n">
        <v>1</v>
      </c>
      <c r="I457" s="0" t="n">
        <v>4859.97</v>
      </c>
      <c r="J457" s="0" t="n">
        <v>2781.19</v>
      </c>
    </row>
    <row r="458" customFormat="false" ht="15" hidden="false" customHeight="false" outlineLevel="0" collapsed="false">
      <c r="A458" s="0" t="s">
        <v>75</v>
      </c>
      <c r="B458" s="0" t="s">
        <v>11</v>
      </c>
      <c r="C458" s="0" t="n">
        <v>6753</v>
      </c>
      <c r="D458" s="0" t="n">
        <v>599</v>
      </c>
      <c r="E458" s="0" t="n">
        <v>225</v>
      </c>
      <c r="F458" s="0" t="n">
        <v>129</v>
      </c>
      <c r="G458" s="0" t="n">
        <v>105</v>
      </c>
      <c r="H458" s="0" t="n">
        <v>37</v>
      </c>
      <c r="I458" s="0" t="n">
        <v>213661.87</v>
      </c>
      <c r="J458" s="0" t="n">
        <v>2867.67</v>
      </c>
    </row>
    <row r="459" customFormat="false" ht="15" hidden="false" customHeight="false" outlineLevel="0" collapsed="false">
      <c r="A459" s="0" t="s">
        <v>75</v>
      </c>
      <c r="B459" s="0" t="s">
        <v>12</v>
      </c>
      <c r="C459" s="0" t="n">
        <v>12084</v>
      </c>
      <c r="D459" s="0" t="n">
        <v>273</v>
      </c>
      <c r="E459" s="0" t="n">
        <v>57</v>
      </c>
      <c r="F459" s="0" t="n">
        <v>30</v>
      </c>
      <c r="G459" s="0" t="n">
        <v>21</v>
      </c>
      <c r="H459" s="0" t="n">
        <v>5</v>
      </c>
      <c r="I459" s="0" t="n">
        <v>20349.12</v>
      </c>
      <c r="J459" s="0" t="n">
        <v>2280.01</v>
      </c>
    </row>
    <row r="460" customFormat="false" ht="15" hidden="false" customHeight="false" outlineLevel="0" collapsed="false">
      <c r="A460" s="0" t="s">
        <v>75</v>
      </c>
      <c r="B460" s="0" t="s">
        <v>13</v>
      </c>
      <c r="C460" s="0" t="n">
        <v>10969</v>
      </c>
      <c r="D460" s="0" t="n">
        <v>657</v>
      </c>
      <c r="E460" s="0" t="n">
        <v>181</v>
      </c>
      <c r="F460" s="0" t="n">
        <v>101</v>
      </c>
      <c r="G460" s="0" t="n">
        <v>83</v>
      </c>
      <c r="H460" s="0" t="n">
        <v>22</v>
      </c>
      <c r="I460" s="0" t="n">
        <v>123493.59</v>
      </c>
      <c r="J460" s="0" t="n">
        <v>9398.15</v>
      </c>
    </row>
    <row r="461" customFormat="false" ht="15" hidden="false" customHeight="false" outlineLevel="0" collapsed="false">
      <c r="A461" s="0" t="s">
        <v>75</v>
      </c>
      <c r="B461" s="0" t="s">
        <v>14</v>
      </c>
      <c r="C461" s="0" t="n">
        <v>13062</v>
      </c>
      <c r="D461" s="0" t="n">
        <v>248</v>
      </c>
      <c r="E461" s="0" t="n">
        <v>50</v>
      </c>
      <c r="F461" s="0" t="n">
        <v>20</v>
      </c>
      <c r="G461" s="0" t="n">
        <v>12</v>
      </c>
      <c r="H461" s="0" t="n">
        <v>2</v>
      </c>
      <c r="I461" s="0" t="n">
        <v>7798.46</v>
      </c>
      <c r="J461" s="0" t="n">
        <v>2148.26</v>
      </c>
    </row>
    <row r="462" customFormat="false" ht="15" hidden="false" customHeight="false" outlineLevel="0" collapsed="false">
      <c r="A462" s="0" t="s">
        <v>75</v>
      </c>
      <c r="B462" s="0" t="s">
        <v>15</v>
      </c>
      <c r="C462" s="0" t="n">
        <v>4898</v>
      </c>
      <c r="D462" s="0" t="n">
        <v>108</v>
      </c>
      <c r="E462" s="0" t="n">
        <v>26</v>
      </c>
      <c r="F462" s="0" t="n">
        <v>16</v>
      </c>
      <c r="G462" s="0" t="n">
        <v>11</v>
      </c>
      <c r="H462" s="0" t="n">
        <v>3</v>
      </c>
      <c r="I462" s="0" t="n">
        <v>35881.4</v>
      </c>
      <c r="J462" s="0" t="n">
        <v>4971.12</v>
      </c>
    </row>
    <row r="463" customFormat="false" ht="15" hidden="false" customHeight="false" outlineLevel="0" collapsed="false">
      <c r="A463" s="0" t="s">
        <v>75</v>
      </c>
      <c r="B463" s="0" t="s">
        <v>16</v>
      </c>
      <c r="C463" s="0" t="n">
        <v>6595</v>
      </c>
      <c r="D463" s="0" t="n">
        <v>268</v>
      </c>
      <c r="E463" s="0" t="n">
        <v>71</v>
      </c>
      <c r="F463" s="0" t="n">
        <v>39</v>
      </c>
      <c r="G463" s="0" t="n">
        <v>30</v>
      </c>
      <c r="H463" s="0" t="n">
        <v>11</v>
      </c>
      <c r="I463" s="0" t="n">
        <v>66993.43</v>
      </c>
      <c r="J463" s="0" t="n">
        <v>452.96</v>
      </c>
    </row>
    <row r="464" customFormat="false" ht="15" hidden="false" customHeight="false" outlineLevel="0" collapsed="false">
      <c r="A464" s="0" t="s">
        <v>75</v>
      </c>
      <c r="B464" s="0" t="s">
        <v>17</v>
      </c>
      <c r="C464" s="0" t="n">
        <v>3884</v>
      </c>
      <c r="D464" s="0" t="n">
        <v>647</v>
      </c>
      <c r="E464" s="0" t="n">
        <v>319</v>
      </c>
      <c r="F464" s="0" t="n">
        <v>215</v>
      </c>
      <c r="G464" s="0" t="n">
        <v>180</v>
      </c>
      <c r="H464" s="0" t="n">
        <v>84</v>
      </c>
      <c r="I464" s="0" t="n">
        <v>801723.53</v>
      </c>
      <c r="J464" s="0" t="n">
        <v>1057.91</v>
      </c>
    </row>
    <row r="465" customFormat="false" ht="15" hidden="false" customHeight="false" outlineLevel="0" collapsed="false">
      <c r="A465" s="0" t="s">
        <v>75</v>
      </c>
      <c r="B465" s="0" t="s">
        <v>18</v>
      </c>
      <c r="C465" s="0" t="n">
        <v>11630</v>
      </c>
      <c r="D465" s="0" t="n">
        <v>322</v>
      </c>
      <c r="E465" s="0" t="n">
        <v>64</v>
      </c>
      <c r="F465" s="0" t="n">
        <v>25</v>
      </c>
      <c r="G465" s="0" t="n">
        <v>16</v>
      </c>
      <c r="H465" s="0" t="n">
        <v>3</v>
      </c>
      <c r="I465" s="0" t="n">
        <v>16296.3</v>
      </c>
      <c r="J465" s="0" t="n">
        <v>3253.12</v>
      </c>
    </row>
    <row r="466" customFormat="false" ht="15" hidden="false" customHeight="false" outlineLevel="0" collapsed="false">
      <c r="A466" s="0" t="s">
        <v>76</v>
      </c>
      <c r="B466" s="0" t="s">
        <v>11</v>
      </c>
      <c r="C466" s="0" t="n">
        <v>3034</v>
      </c>
      <c r="D466" s="0" t="n">
        <v>287</v>
      </c>
      <c r="E466" s="0" t="n">
        <v>105</v>
      </c>
      <c r="F466" s="0" t="n">
        <v>62</v>
      </c>
      <c r="G466" s="0" t="n">
        <v>48</v>
      </c>
      <c r="H466" s="0" t="n">
        <v>18</v>
      </c>
      <c r="I466" s="0" t="n">
        <v>122730.31</v>
      </c>
      <c r="J466" s="0" t="n">
        <v>1345.08</v>
      </c>
    </row>
    <row r="467" customFormat="false" ht="15" hidden="false" customHeight="false" outlineLevel="0" collapsed="false">
      <c r="A467" s="0" t="s">
        <v>76</v>
      </c>
      <c r="B467" s="0" t="s">
        <v>12</v>
      </c>
      <c r="C467" s="0" t="n">
        <v>12120</v>
      </c>
      <c r="D467" s="0" t="n">
        <v>333</v>
      </c>
      <c r="E467" s="0" t="n">
        <v>81</v>
      </c>
      <c r="F467" s="0" t="n">
        <v>34</v>
      </c>
      <c r="G467" s="0" t="n">
        <v>23</v>
      </c>
      <c r="H467" s="0" t="n">
        <v>6</v>
      </c>
      <c r="I467" s="0" t="n">
        <v>25108.33</v>
      </c>
      <c r="J467" s="0" t="n">
        <v>2808.08</v>
      </c>
    </row>
    <row r="468" customFormat="false" ht="15" hidden="false" customHeight="false" outlineLevel="0" collapsed="false">
      <c r="A468" s="0" t="s">
        <v>76</v>
      </c>
      <c r="B468" s="0" t="s">
        <v>13</v>
      </c>
      <c r="C468" s="0" t="n">
        <v>12062</v>
      </c>
      <c r="D468" s="0" t="n">
        <v>587</v>
      </c>
      <c r="E468" s="0" t="n">
        <v>175</v>
      </c>
      <c r="F468" s="0" t="n">
        <v>95</v>
      </c>
      <c r="G468" s="0" t="n">
        <v>71</v>
      </c>
      <c r="H468" s="0" t="n">
        <v>18</v>
      </c>
      <c r="I468" s="0" t="n">
        <v>104096.62</v>
      </c>
      <c r="J468" s="0" t="n">
        <v>10817.23</v>
      </c>
    </row>
    <row r="469" customFormat="false" ht="15" hidden="false" customHeight="false" outlineLevel="0" collapsed="false">
      <c r="A469" s="0" t="s">
        <v>76</v>
      </c>
      <c r="B469" s="0" t="s">
        <v>14</v>
      </c>
      <c r="C469" s="0" t="n">
        <v>8790</v>
      </c>
      <c r="D469" s="0" t="n">
        <v>189</v>
      </c>
      <c r="E469" s="0" t="n">
        <v>27</v>
      </c>
      <c r="F469" s="0" t="n">
        <v>13</v>
      </c>
      <c r="G469" s="0" t="n">
        <v>8</v>
      </c>
      <c r="H469" s="0" t="n">
        <v>1</v>
      </c>
      <c r="I469" s="0" t="n">
        <v>4741.92</v>
      </c>
      <c r="J469" s="0" t="n">
        <v>1649.33</v>
      </c>
    </row>
    <row r="470" customFormat="false" ht="15" hidden="false" customHeight="false" outlineLevel="0" collapsed="false">
      <c r="A470" s="0" t="s">
        <v>76</v>
      </c>
      <c r="B470" s="0" t="s">
        <v>15</v>
      </c>
      <c r="C470" s="0" t="n">
        <v>4647</v>
      </c>
      <c r="D470" s="0" t="n">
        <v>162</v>
      </c>
      <c r="E470" s="0" t="n">
        <v>41</v>
      </c>
      <c r="F470" s="0" t="n">
        <v>28</v>
      </c>
      <c r="G470" s="0" t="n">
        <v>23</v>
      </c>
      <c r="H470" s="0" t="n">
        <v>8</v>
      </c>
      <c r="I470" s="0" t="n">
        <v>82224.22</v>
      </c>
      <c r="J470" s="0" t="n">
        <v>7312.84</v>
      </c>
    </row>
    <row r="471" customFormat="false" ht="15" hidden="false" customHeight="false" outlineLevel="0" collapsed="false">
      <c r="A471" s="0" t="s">
        <v>76</v>
      </c>
      <c r="B471" s="0" t="s">
        <v>16</v>
      </c>
      <c r="C471" s="0" t="n">
        <v>8824</v>
      </c>
      <c r="D471" s="0" t="n">
        <v>596</v>
      </c>
      <c r="E471" s="0" t="n">
        <v>132</v>
      </c>
      <c r="F471" s="0" t="n">
        <v>68</v>
      </c>
      <c r="G471" s="0" t="n">
        <v>47</v>
      </c>
      <c r="H471" s="0" t="n">
        <v>18</v>
      </c>
      <c r="I471" s="0" t="n">
        <v>152871.26</v>
      </c>
      <c r="J471" s="0" t="n">
        <v>1108.51</v>
      </c>
    </row>
    <row r="472" customFormat="false" ht="15" hidden="false" customHeight="false" outlineLevel="0" collapsed="false">
      <c r="A472" s="0" t="s">
        <v>76</v>
      </c>
      <c r="B472" s="0" t="s">
        <v>17</v>
      </c>
      <c r="C472" s="0" t="n">
        <v>1359</v>
      </c>
      <c r="D472" s="0" t="n">
        <v>235</v>
      </c>
      <c r="E472" s="0" t="n">
        <v>106</v>
      </c>
      <c r="F472" s="0" t="n">
        <v>71</v>
      </c>
      <c r="G472" s="0" t="n">
        <v>58</v>
      </c>
      <c r="H472" s="0" t="n">
        <v>24</v>
      </c>
      <c r="I472" s="0" t="n">
        <v>199236.76</v>
      </c>
      <c r="J472" s="0" t="n">
        <v>515.16</v>
      </c>
    </row>
    <row r="473" customFormat="false" ht="15" hidden="false" customHeight="false" outlineLevel="0" collapsed="false">
      <c r="A473" s="0" t="s">
        <v>76</v>
      </c>
      <c r="B473" s="0" t="s">
        <v>18</v>
      </c>
      <c r="C473" s="0" t="n">
        <v>6150</v>
      </c>
      <c r="D473" s="0" t="n">
        <v>75</v>
      </c>
      <c r="E473" s="0" t="n">
        <v>14</v>
      </c>
      <c r="F473" s="0" t="n">
        <v>6</v>
      </c>
      <c r="G473" s="0" t="n">
        <v>3</v>
      </c>
      <c r="H473" s="0" t="n">
        <v>0</v>
      </c>
      <c r="I473" s="0" t="n">
        <v>0</v>
      </c>
      <c r="J473" s="0" t="n">
        <v>1244</v>
      </c>
    </row>
    <row r="474" customFormat="false" ht="15" hidden="false" customHeight="false" outlineLevel="0" collapsed="false">
      <c r="A474" s="0" t="s">
        <v>77</v>
      </c>
      <c r="B474" s="0" t="s">
        <v>11</v>
      </c>
      <c r="C474" s="0" t="n">
        <v>2763</v>
      </c>
      <c r="D474" s="0" t="n">
        <v>231</v>
      </c>
      <c r="E474" s="0" t="n">
        <v>85</v>
      </c>
      <c r="F474" s="0" t="n">
        <v>50</v>
      </c>
      <c r="G474" s="0" t="n">
        <v>38</v>
      </c>
      <c r="H474" s="0" t="n">
        <v>13</v>
      </c>
      <c r="I474" s="0" t="n">
        <v>80018.43</v>
      </c>
      <c r="J474" s="0" t="n">
        <v>637.23</v>
      </c>
    </row>
    <row r="475" customFormat="false" ht="15" hidden="false" customHeight="false" outlineLevel="0" collapsed="false">
      <c r="A475" s="0" t="s">
        <v>77</v>
      </c>
      <c r="B475" s="0" t="s">
        <v>12</v>
      </c>
      <c r="C475" s="0" t="n">
        <v>14970</v>
      </c>
      <c r="D475" s="0" t="n">
        <v>248</v>
      </c>
      <c r="E475" s="0" t="n">
        <v>51</v>
      </c>
      <c r="F475" s="0" t="n">
        <v>23</v>
      </c>
      <c r="G475" s="0" t="n">
        <v>15</v>
      </c>
      <c r="H475" s="0" t="n">
        <v>4</v>
      </c>
      <c r="I475" s="0" t="n">
        <v>16537.87</v>
      </c>
      <c r="J475" s="0" t="n">
        <v>2356.71</v>
      </c>
    </row>
    <row r="476" customFormat="false" ht="15" hidden="false" customHeight="false" outlineLevel="0" collapsed="false">
      <c r="A476" s="0" t="s">
        <v>77</v>
      </c>
      <c r="B476" s="0" t="s">
        <v>13</v>
      </c>
      <c r="C476" s="0" t="n">
        <v>11228</v>
      </c>
      <c r="D476" s="0" t="n">
        <v>527</v>
      </c>
      <c r="E476" s="0" t="n">
        <v>140</v>
      </c>
      <c r="F476" s="0" t="n">
        <v>88</v>
      </c>
      <c r="G476" s="0" t="n">
        <v>66</v>
      </c>
      <c r="H476" s="0" t="n">
        <v>18</v>
      </c>
      <c r="I476" s="0" t="n">
        <v>134633.76</v>
      </c>
      <c r="J476" s="0" t="n">
        <v>7434.97</v>
      </c>
    </row>
    <row r="477" customFormat="false" ht="15" hidden="false" customHeight="false" outlineLevel="0" collapsed="false">
      <c r="A477" s="0" t="s">
        <v>77</v>
      </c>
      <c r="B477" s="0" t="s">
        <v>14</v>
      </c>
      <c r="C477" s="0" t="n">
        <v>11511</v>
      </c>
      <c r="D477" s="0" t="n">
        <v>274</v>
      </c>
      <c r="E477" s="0" t="n">
        <v>36</v>
      </c>
      <c r="F477" s="0" t="n">
        <v>16</v>
      </c>
      <c r="G477" s="0" t="n">
        <v>11</v>
      </c>
      <c r="H477" s="0" t="n">
        <v>2</v>
      </c>
      <c r="I477" s="0" t="n">
        <v>9871.9</v>
      </c>
      <c r="J477" s="0" t="n">
        <v>2248.9</v>
      </c>
    </row>
    <row r="478" customFormat="false" ht="15" hidden="false" customHeight="false" outlineLevel="0" collapsed="false">
      <c r="A478" s="0" t="s">
        <v>77</v>
      </c>
      <c r="B478" s="0" t="s">
        <v>15</v>
      </c>
      <c r="C478" s="0" t="n">
        <v>2707</v>
      </c>
      <c r="D478" s="0" t="n">
        <v>104</v>
      </c>
      <c r="E478" s="0" t="n">
        <v>27</v>
      </c>
      <c r="F478" s="0" t="n">
        <v>20</v>
      </c>
      <c r="G478" s="0" t="n">
        <v>15</v>
      </c>
      <c r="H478" s="0" t="n">
        <v>5</v>
      </c>
      <c r="I478" s="0" t="n">
        <v>58687.97</v>
      </c>
      <c r="J478" s="0" t="n">
        <v>4016.97</v>
      </c>
    </row>
    <row r="479" customFormat="false" ht="15" hidden="false" customHeight="false" outlineLevel="0" collapsed="false">
      <c r="A479" s="0" t="s">
        <v>77</v>
      </c>
      <c r="B479" s="0" t="s">
        <v>16</v>
      </c>
      <c r="C479" s="0" t="n">
        <v>7847</v>
      </c>
      <c r="D479" s="0" t="n">
        <v>572</v>
      </c>
      <c r="E479" s="0" t="n">
        <v>151</v>
      </c>
      <c r="F479" s="0" t="n">
        <v>82</v>
      </c>
      <c r="G479" s="0" t="n">
        <v>59</v>
      </c>
      <c r="H479" s="0" t="n">
        <v>22</v>
      </c>
      <c r="I479" s="0" t="n">
        <v>153659.85</v>
      </c>
      <c r="J479" s="0" t="n">
        <v>1493.74</v>
      </c>
    </row>
    <row r="480" customFormat="false" ht="15" hidden="false" customHeight="false" outlineLevel="0" collapsed="false">
      <c r="A480" s="0" t="s">
        <v>77</v>
      </c>
      <c r="B480" s="0" t="s">
        <v>17</v>
      </c>
      <c r="C480" s="0" t="n">
        <v>1383</v>
      </c>
      <c r="D480" s="0" t="n">
        <v>150</v>
      </c>
      <c r="E480" s="0" t="n">
        <v>67</v>
      </c>
      <c r="F480" s="0" t="n">
        <v>46</v>
      </c>
      <c r="G480" s="0" t="n">
        <v>39</v>
      </c>
      <c r="H480" s="0" t="n">
        <v>16</v>
      </c>
      <c r="I480" s="0" t="n">
        <v>150803.48</v>
      </c>
      <c r="J480" s="0" t="n">
        <v>264.3</v>
      </c>
    </row>
    <row r="481" customFormat="false" ht="15" hidden="false" customHeight="false" outlineLevel="0" collapsed="false">
      <c r="A481" s="0" t="s">
        <v>77</v>
      </c>
      <c r="B481" s="0" t="s">
        <v>18</v>
      </c>
      <c r="C481" s="0" t="n">
        <v>9150</v>
      </c>
      <c r="D481" s="0" t="n">
        <v>161</v>
      </c>
      <c r="E481" s="0" t="n">
        <v>29</v>
      </c>
      <c r="F481" s="0" t="n">
        <v>11</v>
      </c>
      <c r="G481" s="0" t="n">
        <v>8</v>
      </c>
      <c r="H481" s="0" t="n">
        <v>1</v>
      </c>
      <c r="I481" s="0" t="n">
        <v>5367.73</v>
      </c>
      <c r="J481" s="0" t="n">
        <v>3113.34</v>
      </c>
    </row>
    <row r="482" customFormat="false" ht="15" hidden="false" customHeight="false" outlineLevel="0" collapsed="false">
      <c r="A482" s="0" t="s">
        <v>78</v>
      </c>
      <c r="B482" s="0" t="s">
        <v>11</v>
      </c>
      <c r="C482" s="0" t="n">
        <v>3216</v>
      </c>
      <c r="D482" s="0" t="n">
        <v>443</v>
      </c>
      <c r="E482" s="0" t="n">
        <v>134</v>
      </c>
      <c r="F482" s="0" t="n">
        <v>79</v>
      </c>
      <c r="G482" s="0" t="n">
        <v>60</v>
      </c>
      <c r="H482" s="0" t="n">
        <v>23</v>
      </c>
      <c r="I482" s="0" t="n">
        <v>125643.51</v>
      </c>
      <c r="J482" s="0" t="n">
        <v>1626.31</v>
      </c>
    </row>
    <row r="483" customFormat="false" ht="15" hidden="false" customHeight="false" outlineLevel="0" collapsed="false">
      <c r="A483" s="0" t="s">
        <v>78</v>
      </c>
      <c r="B483" s="0" t="s">
        <v>12</v>
      </c>
      <c r="C483" s="0" t="n">
        <v>14090</v>
      </c>
      <c r="D483" s="0" t="n">
        <v>225</v>
      </c>
      <c r="E483" s="0" t="n">
        <v>43</v>
      </c>
      <c r="F483" s="0" t="n">
        <v>17</v>
      </c>
      <c r="G483" s="0" t="n">
        <v>12</v>
      </c>
      <c r="H483" s="0" t="n">
        <v>3</v>
      </c>
      <c r="I483" s="0" t="n">
        <v>12460.82</v>
      </c>
      <c r="J483" s="0" t="n">
        <v>2842.3</v>
      </c>
    </row>
    <row r="484" customFormat="false" ht="15" hidden="false" customHeight="false" outlineLevel="0" collapsed="false">
      <c r="A484" s="0" t="s">
        <v>78</v>
      </c>
      <c r="B484" s="0" t="s">
        <v>13</v>
      </c>
      <c r="C484" s="0" t="n">
        <v>8768</v>
      </c>
      <c r="D484" s="0" t="n">
        <v>271</v>
      </c>
      <c r="E484" s="0" t="n">
        <v>67</v>
      </c>
      <c r="F484" s="0" t="n">
        <v>37</v>
      </c>
      <c r="G484" s="0" t="n">
        <v>26</v>
      </c>
      <c r="H484" s="0" t="n">
        <v>8</v>
      </c>
      <c r="I484" s="0" t="n">
        <v>53492.53</v>
      </c>
      <c r="J484" s="0" t="n">
        <v>6425.82</v>
      </c>
    </row>
    <row r="485" customFormat="false" ht="15" hidden="false" customHeight="false" outlineLevel="0" collapsed="false">
      <c r="A485" s="0" t="s">
        <v>78</v>
      </c>
      <c r="B485" s="0" t="s">
        <v>14</v>
      </c>
      <c r="C485" s="0" t="n">
        <v>9266</v>
      </c>
      <c r="D485" s="0" t="n">
        <v>192</v>
      </c>
      <c r="E485" s="0" t="n">
        <v>31</v>
      </c>
      <c r="F485" s="0" t="n">
        <v>15</v>
      </c>
      <c r="G485" s="0" t="n">
        <v>11</v>
      </c>
      <c r="H485" s="0" t="n">
        <v>2</v>
      </c>
      <c r="I485" s="0" t="n">
        <v>8621.35</v>
      </c>
      <c r="J485" s="0" t="n">
        <v>1845.93</v>
      </c>
    </row>
    <row r="486" customFormat="false" ht="15" hidden="false" customHeight="false" outlineLevel="0" collapsed="false">
      <c r="A486" s="0" t="s">
        <v>78</v>
      </c>
      <c r="B486" s="0" t="s">
        <v>15</v>
      </c>
      <c r="C486" s="0" t="n">
        <v>2059</v>
      </c>
      <c r="D486" s="0" t="n">
        <v>55</v>
      </c>
      <c r="E486" s="0" t="n">
        <v>12</v>
      </c>
      <c r="F486" s="0" t="n">
        <v>8</v>
      </c>
      <c r="G486" s="0" t="n">
        <v>6</v>
      </c>
      <c r="H486" s="0" t="n">
        <v>1</v>
      </c>
      <c r="I486" s="0" t="n">
        <v>10908.89</v>
      </c>
      <c r="J486" s="0" t="n">
        <v>2084.79</v>
      </c>
    </row>
    <row r="487" customFormat="false" ht="15" hidden="false" customHeight="false" outlineLevel="0" collapsed="false">
      <c r="A487" s="0" t="s">
        <v>78</v>
      </c>
      <c r="B487" s="0" t="s">
        <v>16</v>
      </c>
      <c r="C487" s="0" t="n">
        <v>8943</v>
      </c>
      <c r="D487" s="0" t="n">
        <v>619</v>
      </c>
      <c r="E487" s="0" t="n">
        <v>171</v>
      </c>
      <c r="F487" s="0" t="n">
        <v>89</v>
      </c>
      <c r="G487" s="0" t="n">
        <v>69</v>
      </c>
      <c r="H487" s="0" t="n">
        <v>30</v>
      </c>
      <c r="I487" s="0" t="n">
        <v>237187.29</v>
      </c>
      <c r="J487" s="0" t="n">
        <v>1753.53</v>
      </c>
    </row>
    <row r="488" customFormat="false" ht="15" hidden="false" customHeight="false" outlineLevel="0" collapsed="false">
      <c r="A488" s="0" t="s">
        <v>78</v>
      </c>
      <c r="B488" s="0" t="s">
        <v>17</v>
      </c>
      <c r="C488" s="0" t="n">
        <v>2456</v>
      </c>
      <c r="D488" s="0" t="n">
        <v>344</v>
      </c>
      <c r="E488" s="0" t="n">
        <v>163</v>
      </c>
      <c r="F488" s="0" t="n">
        <v>114</v>
      </c>
      <c r="G488" s="0" t="n">
        <v>96</v>
      </c>
      <c r="H488" s="0" t="n">
        <v>42</v>
      </c>
      <c r="I488" s="0" t="n">
        <v>397883.41</v>
      </c>
      <c r="J488" s="0" t="n">
        <v>847.27</v>
      </c>
    </row>
    <row r="489" customFormat="false" ht="15" hidden="false" customHeight="false" outlineLevel="0" collapsed="false">
      <c r="A489" s="0" t="s">
        <v>78</v>
      </c>
      <c r="B489" s="0" t="s">
        <v>18</v>
      </c>
      <c r="C489" s="0" t="n">
        <v>5121</v>
      </c>
      <c r="D489" s="0" t="n">
        <v>136</v>
      </c>
      <c r="E489" s="0" t="n">
        <v>25</v>
      </c>
      <c r="F489" s="0" t="n">
        <v>11</v>
      </c>
      <c r="G489" s="0" t="n">
        <v>7</v>
      </c>
      <c r="H489" s="0" t="n">
        <v>1</v>
      </c>
      <c r="I489" s="0" t="n">
        <v>4502.34</v>
      </c>
      <c r="J489" s="0" t="n">
        <v>2604.48</v>
      </c>
    </row>
    <row r="490" customFormat="false" ht="15" hidden="false" customHeight="false" outlineLevel="0" collapsed="false">
      <c r="A490" s="0" t="s">
        <v>79</v>
      </c>
      <c r="B490" s="0" t="s">
        <v>11</v>
      </c>
      <c r="C490" s="0" t="n">
        <v>5085</v>
      </c>
      <c r="D490" s="0" t="n">
        <v>463</v>
      </c>
      <c r="E490" s="0" t="n">
        <v>146</v>
      </c>
      <c r="F490" s="0" t="n">
        <v>86</v>
      </c>
      <c r="G490" s="0" t="n">
        <v>71</v>
      </c>
      <c r="H490" s="0" t="n">
        <v>27</v>
      </c>
      <c r="I490" s="0" t="n">
        <v>156227.61</v>
      </c>
      <c r="J490" s="0" t="n">
        <v>1042.85</v>
      </c>
    </row>
    <row r="491" customFormat="false" ht="15" hidden="false" customHeight="false" outlineLevel="0" collapsed="false">
      <c r="A491" s="0" t="s">
        <v>79</v>
      </c>
      <c r="B491" s="0" t="s">
        <v>12</v>
      </c>
      <c r="C491" s="0" t="n">
        <v>8076</v>
      </c>
      <c r="D491" s="0" t="n">
        <v>239</v>
      </c>
      <c r="E491" s="0" t="n">
        <v>58</v>
      </c>
      <c r="F491" s="0" t="n">
        <v>26</v>
      </c>
      <c r="G491" s="0" t="n">
        <v>19</v>
      </c>
      <c r="H491" s="0" t="n">
        <v>4</v>
      </c>
      <c r="I491" s="0" t="n">
        <v>22443.44</v>
      </c>
      <c r="J491" s="0" t="n">
        <v>3034.74</v>
      </c>
    </row>
    <row r="492" customFormat="false" ht="15" hidden="false" customHeight="false" outlineLevel="0" collapsed="false">
      <c r="A492" s="0" t="s">
        <v>79</v>
      </c>
      <c r="B492" s="0" t="s">
        <v>13</v>
      </c>
      <c r="C492" s="0" t="n">
        <v>13442</v>
      </c>
      <c r="D492" s="0" t="n">
        <v>598</v>
      </c>
      <c r="E492" s="0" t="n">
        <v>150</v>
      </c>
      <c r="F492" s="0" t="n">
        <v>81</v>
      </c>
      <c r="G492" s="0" t="n">
        <v>63</v>
      </c>
      <c r="H492" s="0" t="n">
        <v>17</v>
      </c>
      <c r="I492" s="0" t="n">
        <v>98871.93</v>
      </c>
      <c r="J492" s="0" t="n">
        <v>8606.83</v>
      </c>
    </row>
    <row r="493" customFormat="false" ht="15" hidden="false" customHeight="false" outlineLevel="0" collapsed="false">
      <c r="A493" s="0" t="s">
        <v>79</v>
      </c>
      <c r="B493" s="0" t="s">
        <v>14</v>
      </c>
      <c r="C493" s="0" t="n">
        <v>17414</v>
      </c>
      <c r="D493" s="0" t="n">
        <v>320</v>
      </c>
      <c r="E493" s="0" t="n">
        <v>64</v>
      </c>
      <c r="F493" s="0" t="n">
        <v>26</v>
      </c>
      <c r="G493" s="0" t="n">
        <v>20</v>
      </c>
      <c r="H493" s="0" t="n">
        <v>3</v>
      </c>
      <c r="I493" s="0" t="n">
        <v>15357.04</v>
      </c>
      <c r="J493" s="0" t="n">
        <v>3591.9</v>
      </c>
    </row>
    <row r="494" customFormat="false" ht="15" hidden="false" customHeight="false" outlineLevel="0" collapsed="false">
      <c r="A494" s="0" t="s">
        <v>79</v>
      </c>
      <c r="B494" s="0" t="s">
        <v>15</v>
      </c>
      <c r="C494" s="0" t="n">
        <v>4752</v>
      </c>
      <c r="D494" s="0" t="n">
        <v>106</v>
      </c>
      <c r="E494" s="0" t="n">
        <v>29</v>
      </c>
      <c r="F494" s="0" t="n">
        <v>18</v>
      </c>
      <c r="G494" s="0" t="n">
        <v>14</v>
      </c>
      <c r="H494" s="0" t="n">
        <v>4</v>
      </c>
      <c r="I494" s="0" t="n">
        <v>50929.17</v>
      </c>
      <c r="J494" s="0" t="n">
        <v>3831.3</v>
      </c>
    </row>
    <row r="495" customFormat="false" ht="15" hidden="false" customHeight="false" outlineLevel="0" collapsed="false">
      <c r="A495" s="0" t="s">
        <v>79</v>
      </c>
      <c r="B495" s="0" t="s">
        <v>16</v>
      </c>
      <c r="C495" s="0" t="n">
        <v>6902</v>
      </c>
      <c r="D495" s="0" t="n">
        <v>280</v>
      </c>
      <c r="E495" s="0" t="n">
        <v>70</v>
      </c>
      <c r="F495" s="0" t="n">
        <v>39</v>
      </c>
      <c r="G495" s="0" t="n">
        <v>27</v>
      </c>
      <c r="H495" s="0" t="n">
        <v>10</v>
      </c>
      <c r="I495" s="0" t="n">
        <v>85048.42</v>
      </c>
      <c r="J495" s="0" t="n">
        <v>293.28</v>
      </c>
    </row>
    <row r="496" customFormat="false" ht="15" hidden="false" customHeight="false" outlineLevel="0" collapsed="false">
      <c r="A496" s="0" t="s">
        <v>79</v>
      </c>
      <c r="B496" s="0" t="s">
        <v>17</v>
      </c>
      <c r="C496" s="0" t="n">
        <v>3924</v>
      </c>
      <c r="D496" s="0" t="n">
        <v>445</v>
      </c>
      <c r="E496" s="0" t="n">
        <v>188</v>
      </c>
      <c r="F496" s="0" t="n">
        <v>138</v>
      </c>
      <c r="G496" s="0" t="n">
        <v>120</v>
      </c>
      <c r="H496" s="0" t="n">
        <v>53</v>
      </c>
      <c r="I496" s="0" t="n">
        <v>377263.3</v>
      </c>
      <c r="J496" s="0" t="n">
        <v>490.05</v>
      </c>
    </row>
    <row r="497" customFormat="false" ht="15" hidden="false" customHeight="false" outlineLevel="0" collapsed="false">
      <c r="A497" s="0" t="s">
        <v>79</v>
      </c>
      <c r="B497" s="0" t="s">
        <v>18</v>
      </c>
      <c r="C497" s="0" t="n">
        <v>9017</v>
      </c>
      <c r="D497" s="0" t="n">
        <v>161</v>
      </c>
      <c r="E497" s="0" t="n">
        <v>24</v>
      </c>
      <c r="F497" s="0" t="n">
        <v>10</v>
      </c>
      <c r="G497" s="0" t="n">
        <v>6</v>
      </c>
      <c r="H497" s="0" t="n">
        <v>1</v>
      </c>
      <c r="I497" s="0" t="n">
        <v>4080.52</v>
      </c>
      <c r="J497" s="0" t="n">
        <v>2103.36</v>
      </c>
    </row>
    <row r="498" customFormat="false" ht="15" hidden="false" customHeight="false" outlineLevel="0" collapsed="false">
      <c r="A498" s="0" t="s">
        <v>80</v>
      </c>
      <c r="B498" s="0" t="s">
        <v>11</v>
      </c>
      <c r="C498" s="0" t="n">
        <v>5859</v>
      </c>
      <c r="D498" s="0" t="n">
        <v>799</v>
      </c>
      <c r="E498" s="0" t="n">
        <v>300</v>
      </c>
      <c r="F498" s="0" t="n">
        <v>169</v>
      </c>
      <c r="G498" s="0" t="n">
        <v>129</v>
      </c>
      <c r="H498" s="0" t="n">
        <v>42</v>
      </c>
      <c r="I498" s="0" t="n">
        <v>244310.27</v>
      </c>
      <c r="J498" s="0" t="n">
        <v>2463.5</v>
      </c>
    </row>
    <row r="499" customFormat="false" ht="15" hidden="false" customHeight="false" outlineLevel="0" collapsed="false">
      <c r="A499" s="0" t="s">
        <v>80</v>
      </c>
      <c r="B499" s="0" t="s">
        <v>12</v>
      </c>
      <c r="C499" s="0" t="n">
        <v>12496</v>
      </c>
      <c r="D499" s="0" t="n">
        <v>290</v>
      </c>
      <c r="E499" s="0" t="n">
        <v>44</v>
      </c>
      <c r="F499" s="0" t="n">
        <v>20</v>
      </c>
      <c r="G499" s="0" t="n">
        <v>15</v>
      </c>
      <c r="H499" s="0" t="n">
        <v>4</v>
      </c>
      <c r="I499" s="0" t="n">
        <v>17808.63</v>
      </c>
      <c r="J499" s="0" t="n">
        <v>2775.37</v>
      </c>
    </row>
    <row r="500" customFormat="false" ht="15" hidden="false" customHeight="false" outlineLevel="0" collapsed="false">
      <c r="A500" s="0" t="s">
        <v>80</v>
      </c>
      <c r="B500" s="0" t="s">
        <v>13</v>
      </c>
      <c r="C500" s="0" t="n">
        <v>10883</v>
      </c>
      <c r="D500" s="0" t="n">
        <v>456</v>
      </c>
      <c r="E500" s="0" t="n">
        <v>135</v>
      </c>
      <c r="F500" s="0" t="n">
        <v>78</v>
      </c>
      <c r="G500" s="0" t="n">
        <v>57</v>
      </c>
      <c r="H500" s="0" t="n">
        <v>18</v>
      </c>
      <c r="I500" s="0" t="n">
        <v>138829.14</v>
      </c>
      <c r="J500" s="0" t="n">
        <v>7622</v>
      </c>
    </row>
    <row r="501" customFormat="false" ht="15" hidden="false" customHeight="false" outlineLevel="0" collapsed="false">
      <c r="A501" s="0" t="s">
        <v>80</v>
      </c>
      <c r="B501" s="0" t="s">
        <v>14</v>
      </c>
      <c r="C501" s="0" t="n">
        <v>15990</v>
      </c>
      <c r="D501" s="0" t="n">
        <v>429</v>
      </c>
      <c r="E501" s="0" t="n">
        <v>59</v>
      </c>
      <c r="F501" s="0" t="n">
        <v>26</v>
      </c>
      <c r="G501" s="0" t="n">
        <v>17</v>
      </c>
      <c r="H501" s="0" t="n">
        <v>4</v>
      </c>
      <c r="I501" s="0" t="n">
        <v>16889.01</v>
      </c>
      <c r="J501" s="0" t="n">
        <v>3253.83</v>
      </c>
    </row>
    <row r="502" customFormat="false" ht="15" hidden="false" customHeight="false" outlineLevel="0" collapsed="false">
      <c r="A502" s="0" t="s">
        <v>80</v>
      </c>
      <c r="B502" s="0" t="s">
        <v>15</v>
      </c>
      <c r="C502" s="0" t="n">
        <v>5009</v>
      </c>
      <c r="D502" s="0" t="n">
        <v>105</v>
      </c>
      <c r="E502" s="0" t="n">
        <v>24</v>
      </c>
      <c r="F502" s="0" t="n">
        <v>15</v>
      </c>
      <c r="G502" s="0" t="n">
        <v>11</v>
      </c>
      <c r="H502" s="0" t="n">
        <v>3</v>
      </c>
      <c r="I502" s="0" t="n">
        <v>32420.51</v>
      </c>
      <c r="J502" s="0" t="n">
        <v>4262.88</v>
      </c>
    </row>
    <row r="503" customFormat="false" ht="15" hidden="false" customHeight="false" outlineLevel="0" collapsed="false">
      <c r="A503" s="0" t="s">
        <v>80</v>
      </c>
      <c r="B503" s="0" t="s">
        <v>16</v>
      </c>
      <c r="C503" s="0" t="n">
        <v>12117</v>
      </c>
      <c r="D503" s="0" t="n">
        <v>512</v>
      </c>
      <c r="E503" s="0" t="n">
        <v>103</v>
      </c>
      <c r="F503" s="0" t="n">
        <v>55</v>
      </c>
      <c r="G503" s="0" t="n">
        <v>42</v>
      </c>
      <c r="H503" s="0" t="n">
        <v>15</v>
      </c>
      <c r="I503" s="0" t="n">
        <v>101692.27</v>
      </c>
      <c r="J503" s="0" t="n">
        <v>1168.9</v>
      </c>
    </row>
    <row r="504" customFormat="false" ht="15" hidden="false" customHeight="false" outlineLevel="0" collapsed="false">
      <c r="A504" s="0" t="s">
        <v>80</v>
      </c>
      <c r="B504" s="0" t="s">
        <v>17</v>
      </c>
      <c r="C504" s="0" t="n">
        <v>3658</v>
      </c>
      <c r="D504" s="0" t="n">
        <v>693</v>
      </c>
      <c r="E504" s="0" t="n">
        <v>297</v>
      </c>
      <c r="F504" s="0" t="n">
        <v>199</v>
      </c>
      <c r="G504" s="0" t="n">
        <v>163</v>
      </c>
      <c r="H504" s="0" t="n">
        <v>69</v>
      </c>
      <c r="I504" s="0" t="n">
        <v>653995.39</v>
      </c>
      <c r="J504" s="0" t="n">
        <v>1624.92</v>
      </c>
    </row>
    <row r="505" customFormat="false" ht="15" hidden="false" customHeight="false" outlineLevel="0" collapsed="false">
      <c r="A505" s="0" t="s">
        <v>80</v>
      </c>
      <c r="B505" s="0" t="s">
        <v>18</v>
      </c>
      <c r="C505" s="0" t="n">
        <v>9711</v>
      </c>
      <c r="D505" s="0" t="n">
        <v>257</v>
      </c>
      <c r="E505" s="0" t="n">
        <v>45</v>
      </c>
      <c r="F505" s="0" t="n">
        <v>16</v>
      </c>
      <c r="G505" s="0" t="n">
        <v>11</v>
      </c>
      <c r="H505" s="0" t="n">
        <v>2</v>
      </c>
      <c r="I505" s="0" t="n">
        <v>9082.58</v>
      </c>
      <c r="J505" s="0" t="n">
        <v>4295.17</v>
      </c>
    </row>
    <row r="506" customFormat="false" ht="15" hidden="false" customHeight="false" outlineLevel="0" collapsed="false">
      <c r="A506" s="0" t="s">
        <v>81</v>
      </c>
      <c r="B506" s="0" t="s">
        <v>11</v>
      </c>
      <c r="C506" s="0" t="n">
        <v>7327</v>
      </c>
      <c r="D506" s="0" t="n">
        <v>638</v>
      </c>
      <c r="E506" s="0" t="n">
        <v>199</v>
      </c>
      <c r="F506" s="0" t="n">
        <v>128</v>
      </c>
      <c r="G506" s="0" t="n">
        <v>104</v>
      </c>
      <c r="H506" s="0" t="n">
        <v>40</v>
      </c>
      <c r="I506" s="0" t="n">
        <v>254118.7</v>
      </c>
      <c r="J506" s="0" t="n">
        <v>1896.77</v>
      </c>
    </row>
    <row r="507" customFormat="false" ht="15" hidden="false" customHeight="false" outlineLevel="0" collapsed="false">
      <c r="A507" s="0" t="s">
        <v>81</v>
      </c>
      <c r="B507" s="0" t="s">
        <v>12</v>
      </c>
      <c r="C507" s="0" t="n">
        <v>18393</v>
      </c>
      <c r="D507" s="0" t="n">
        <v>355</v>
      </c>
      <c r="E507" s="0" t="n">
        <v>69</v>
      </c>
      <c r="F507" s="0" t="n">
        <v>34</v>
      </c>
      <c r="G507" s="0" t="n">
        <v>24</v>
      </c>
      <c r="H507" s="0" t="n">
        <v>5</v>
      </c>
      <c r="I507" s="0" t="n">
        <v>25642.32</v>
      </c>
      <c r="J507" s="0" t="n">
        <v>3660.76</v>
      </c>
    </row>
    <row r="508" customFormat="false" ht="15" hidden="false" customHeight="false" outlineLevel="0" collapsed="false">
      <c r="A508" s="0" t="s">
        <v>81</v>
      </c>
      <c r="B508" s="0" t="s">
        <v>13</v>
      </c>
      <c r="C508" s="0" t="n">
        <v>5812</v>
      </c>
      <c r="D508" s="0" t="n">
        <v>347</v>
      </c>
      <c r="E508" s="0" t="n">
        <v>74</v>
      </c>
      <c r="F508" s="0" t="n">
        <v>47</v>
      </c>
      <c r="G508" s="0" t="n">
        <v>39</v>
      </c>
      <c r="H508" s="0" t="n">
        <v>12</v>
      </c>
      <c r="I508" s="0" t="n">
        <v>80801.05</v>
      </c>
      <c r="J508" s="0" t="n">
        <v>7146.2</v>
      </c>
    </row>
    <row r="509" customFormat="false" ht="15" hidden="false" customHeight="false" outlineLevel="0" collapsed="false">
      <c r="A509" s="0" t="s">
        <v>81</v>
      </c>
      <c r="B509" s="0" t="s">
        <v>14</v>
      </c>
      <c r="C509" s="0" t="n">
        <v>16356</v>
      </c>
      <c r="D509" s="0" t="n">
        <v>249</v>
      </c>
      <c r="E509" s="0" t="n">
        <v>53</v>
      </c>
      <c r="F509" s="0" t="n">
        <v>25</v>
      </c>
      <c r="G509" s="0" t="n">
        <v>18</v>
      </c>
      <c r="H509" s="0" t="n">
        <v>4</v>
      </c>
      <c r="I509" s="0" t="n">
        <v>15329.6</v>
      </c>
      <c r="J509" s="0" t="n">
        <v>3101.7</v>
      </c>
    </row>
    <row r="510" customFormat="false" ht="15" hidden="false" customHeight="false" outlineLevel="0" collapsed="false">
      <c r="A510" s="0" t="s">
        <v>81</v>
      </c>
      <c r="B510" s="0" t="s">
        <v>15</v>
      </c>
      <c r="C510" s="0" t="n">
        <v>5273</v>
      </c>
      <c r="D510" s="0" t="n">
        <v>109</v>
      </c>
      <c r="E510" s="0" t="n">
        <v>29</v>
      </c>
      <c r="F510" s="0" t="n">
        <v>21</v>
      </c>
      <c r="G510" s="0" t="n">
        <v>15</v>
      </c>
      <c r="H510" s="0" t="n">
        <v>4</v>
      </c>
      <c r="I510" s="0" t="n">
        <v>45060.53</v>
      </c>
      <c r="J510" s="0" t="n">
        <v>4938.49</v>
      </c>
    </row>
    <row r="511" customFormat="false" ht="15" hidden="false" customHeight="false" outlineLevel="0" collapsed="false">
      <c r="A511" s="0" t="s">
        <v>81</v>
      </c>
      <c r="B511" s="0" t="s">
        <v>16</v>
      </c>
      <c r="C511" s="0" t="n">
        <v>11348</v>
      </c>
      <c r="D511" s="0" t="n">
        <v>727</v>
      </c>
      <c r="E511" s="0" t="n">
        <v>185</v>
      </c>
      <c r="F511" s="0" t="n">
        <v>103</v>
      </c>
      <c r="G511" s="0" t="n">
        <v>75</v>
      </c>
      <c r="H511" s="0" t="n">
        <v>28</v>
      </c>
      <c r="I511" s="0" t="n">
        <v>187006.88</v>
      </c>
      <c r="J511" s="0" t="n">
        <v>1844.52</v>
      </c>
    </row>
    <row r="512" customFormat="false" ht="15" hidden="false" customHeight="false" outlineLevel="0" collapsed="false">
      <c r="A512" s="0" t="s">
        <v>81</v>
      </c>
      <c r="B512" s="0" t="s">
        <v>17</v>
      </c>
      <c r="C512" s="0" t="n">
        <v>3077</v>
      </c>
      <c r="D512" s="0" t="n">
        <v>379</v>
      </c>
      <c r="E512" s="0" t="n">
        <v>175</v>
      </c>
      <c r="F512" s="0" t="n">
        <v>126</v>
      </c>
      <c r="G512" s="0" t="n">
        <v>101</v>
      </c>
      <c r="H512" s="0" t="n">
        <v>41</v>
      </c>
      <c r="I512" s="0" t="n">
        <v>361537.63</v>
      </c>
      <c r="J512" s="0" t="n">
        <v>478.28</v>
      </c>
    </row>
    <row r="513" customFormat="false" ht="15" hidden="false" customHeight="false" outlineLevel="0" collapsed="false">
      <c r="A513" s="0" t="s">
        <v>81</v>
      </c>
      <c r="B513" s="0" t="s">
        <v>18</v>
      </c>
      <c r="C513" s="0" t="n">
        <v>10946</v>
      </c>
      <c r="D513" s="0" t="n">
        <v>119</v>
      </c>
      <c r="E513" s="0" t="n">
        <v>23</v>
      </c>
      <c r="F513" s="0" t="n">
        <v>9</v>
      </c>
      <c r="G513" s="0" t="n">
        <v>6</v>
      </c>
      <c r="H513" s="0" t="n">
        <v>1</v>
      </c>
      <c r="I513" s="0" t="n">
        <v>4930.67</v>
      </c>
      <c r="J513" s="0" t="n">
        <v>1585.05</v>
      </c>
    </row>
    <row r="514" customFormat="false" ht="15" hidden="false" customHeight="false" outlineLevel="0" collapsed="false">
      <c r="A514" s="0" t="s">
        <v>82</v>
      </c>
      <c r="B514" s="0" t="s">
        <v>11</v>
      </c>
      <c r="C514" s="0" t="n">
        <v>4479</v>
      </c>
      <c r="D514" s="0" t="n">
        <v>358</v>
      </c>
      <c r="E514" s="0" t="n">
        <v>117</v>
      </c>
      <c r="F514" s="0" t="n">
        <v>66</v>
      </c>
      <c r="G514" s="0" t="n">
        <v>53</v>
      </c>
      <c r="H514" s="0" t="n">
        <v>19</v>
      </c>
      <c r="I514" s="0" t="n">
        <v>95617.25</v>
      </c>
      <c r="J514" s="0" t="n">
        <v>1353.38</v>
      </c>
    </row>
    <row r="515" customFormat="false" ht="15" hidden="false" customHeight="false" outlineLevel="0" collapsed="false">
      <c r="A515" s="0" t="s">
        <v>82</v>
      </c>
      <c r="B515" s="0" t="s">
        <v>12</v>
      </c>
      <c r="C515" s="0" t="n">
        <v>11551</v>
      </c>
      <c r="D515" s="0" t="n">
        <v>288</v>
      </c>
      <c r="E515" s="0" t="n">
        <v>71</v>
      </c>
      <c r="F515" s="0" t="n">
        <v>28</v>
      </c>
      <c r="G515" s="0" t="n">
        <v>21</v>
      </c>
      <c r="H515" s="0" t="n">
        <v>5</v>
      </c>
      <c r="I515" s="0" t="n">
        <v>25002.79</v>
      </c>
      <c r="J515" s="0" t="n">
        <v>3440.86</v>
      </c>
    </row>
    <row r="516" customFormat="false" ht="15" hidden="false" customHeight="false" outlineLevel="0" collapsed="false">
      <c r="A516" s="0" t="s">
        <v>82</v>
      </c>
      <c r="B516" s="0" t="s">
        <v>13</v>
      </c>
      <c r="C516" s="0" t="n">
        <v>5136</v>
      </c>
      <c r="D516" s="0" t="n">
        <v>166</v>
      </c>
      <c r="E516" s="0" t="n">
        <v>37</v>
      </c>
      <c r="F516" s="0" t="n">
        <v>18</v>
      </c>
      <c r="G516" s="0" t="n">
        <v>14</v>
      </c>
      <c r="H516" s="0" t="n">
        <v>4</v>
      </c>
      <c r="I516" s="0" t="n">
        <v>22095.77</v>
      </c>
      <c r="J516" s="0" t="n">
        <v>3233.92</v>
      </c>
    </row>
    <row r="517" customFormat="false" ht="15" hidden="false" customHeight="false" outlineLevel="0" collapsed="false">
      <c r="A517" s="0" t="s">
        <v>82</v>
      </c>
      <c r="B517" s="0" t="s">
        <v>14</v>
      </c>
      <c r="C517" s="0" t="n">
        <v>7763</v>
      </c>
      <c r="D517" s="0" t="n">
        <v>104</v>
      </c>
      <c r="E517" s="0" t="n">
        <v>19</v>
      </c>
      <c r="F517" s="0" t="n">
        <v>8</v>
      </c>
      <c r="G517" s="0" t="n">
        <v>6</v>
      </c>
      <c r="H517" s="0" t="n">
        <v>1</v>
      </c>
      <c r="I517" s="0" t="n">
        <v>5229.44</v>
      </c>
      <c r="J517" s="0" t="n">
        <v>832.31</v>
      </c>
    </row>
    <row r="518" customFormat="false" ht="15" hidden="false" customHeight="false" outlineLevel="0" collapsed="false">
      <c r="A518" s="0" t="s">
        <v>82</v>
      </c>
      <c r="B518" s="0" t="s">
        <v>15</v>
      </c>
      <c r="C518" s="0" t="n">
        <v>3173</v>
      </c>
      <c r="D518" s="0" t="n">
        <v>96</v>
      </c>
      <c r="E518" s="0" t="n">
        <v>23</v>
      </c>
      <c r="F518" s="0" t="n">
        <v>16</v>
      </c>
      <c r="G518" s="0" t="n">
        <v>13</v>
      </c>
      <c r="H518" s="0" t="n">
        <v>4</v>
      </c>
      <c r="I518" s="0" t="n">
        <v>58918.49</v>
      </c>
      <c r="J518" s="0" t="n">
        <v>4184.9</v>
      </c>
    </row>
    <row r="519" customFormat="false" ht="15" hidden="false" customHeight="false" outlineLevel="0" collapsed="false">
      <c r="A519" s="0" t="s">
        <v>82</v>
      </c>
      <c r="B519" s="0" t="s">
        <v>16</v>
      </c>
      <c r="C519" s="0" t="n">
        <v>12559</v>
      </c>
      <c r="D519" s="0" t="n">
        <v>664</v>
      </c>
      <c r="E519" s="0" t="n">
        <v>168</v>
      </c>
      <c r="F519" s="0" t="n">
        <v>93</v>
      </c>
      <c r="G519" s="0" t="n">
        <v>67</v>
      </c>
      <c r="H519" s="0" t="n">
        <v>24</v>
      </c>
      <c r="I519" s="0" t="n">
        <v>203869.32</v>
      </c>
      <c r="J519" s="0" t="n">
        <v>789.39</v>
      </c>
    </row>
    <row r="520" customFormat="false" ht="15" hidden="false" customHeight="false" outlineLevel="0" collapsed="false">
      <c r="A520" s="0" t="s">
        <v>82</v>
      </c>
      <c r="B520" s="0" t="s">
        <v>17</v>
      </c>
      <c r="C520" s="0" t="n">
        <v>3755</v>
      </c>
      <c r="D520" s="0" t="n">
        <v>619</v>
      </c>
      <c r="E520" s="0" t="n">
        <v>254</v>
      </c>
      <c r="F520" s="0" t="n">
        <v>175</v>
      </c>
      <c r="G520" s="0" t="n">
        <v>149</v>
      </c>
      <c r="H520" s="0" t="n">
        <v>71</v>
      </c>
      <c r="I520" s="0" t="n">
        <v>497006.54</v>
      </c>
      <c r="J520" s="0" t="n">
        <v>765.35</v>
      </c>
    </row>
    <row r="521" customFormat="false" ht="15" hidden="false" customHeight="false" outlineLevel="0" collapsed="false">
      <c r="A521" s="0" t="s">
        <v>82</v>
      </c>
      <c r="B521" s="0" t="s">
        <v>18</v>
      </c>
      <c r="C521" s="0" t="n">
        <v>9984</v>
      </c>
      <c r="D521" s="0" t="n">
        <v>171</v>
      </c>
      <c r="E521" s="0" t="n">
        <v>28</v>
      </c>
      <c r="F521" s="0" t="n">
        <v>9</v>
      </c>
      <c r="G521" s="0" t="n">
        <v>6</v>
      </c>
      <c r="H521" s="0" t="n">
        <v>1</v>
      </c>
      <c r="I521" s="0" t="n">
        <v>5131.49</v>
      </c>
      <c r="J521" s="0" t="n">
        <v>3347.55</v>
      </c>
    </row>
    <row r="522" customFormat="false" ht="15" hidden="false" customHeight="false" outlineLevel="0" collapsed="false">
      <c r="A522" s="0" t="s">
        <v>83</v>
      </c>
      <c r="B522" s="0" t="s">
        <v>11</v>
      </c>
      <c r="C522" s="0" t="n">
        <v>5499</v>
      </c>
      <c r="D522" s="0" t="n">
        <v>721</v>
      </c>
      <c r="E522" s="0" t="n">
        <v>260</v>
      </c>
      <c r="F522" s="0" t="n">
        <v>147</v>
      </c>
      <c r="G522" s="0" t="n">
        <v>110</v>
      </c>
      <c r="H522" s="0" t="n">
        <v>36</v>
      </c>
      <c r="I522" s="0" t="n">
        <v>224431.63</v>
      </c>
      <c r="J522" s="0" t="n">
        <v>2400.28</v>
      </c>
    </row>
    <row r="523" customFormat="false" ht="15" hidden="false" customHeight="false" outlineLevel="0" collapsed="false">
      <c r="A523" s="0" t="s">
        <v>83</v>
      </c>
      <c r="B523" s="0" t="s">
        <v>12</v>
      </c>
      <c r="C523" s="0" t="n">
        <v>11779</v>
      </c>
      <c r="D523" s="0" t="n">
        <v>193</v>
      </c>
      <c r="E523" s="0" t="n">
        <v>32</v>
      </c>
      <c r="F523" s="0" t="n">
        <v>17</v>
      </c>
      <c r="G523" s="0" t="n">
        <v>12</v>
      </c>
      <c r="H523" s="0" t="n">
        <v>3</v>
      </c>
      <c r="I523" s="0" t="n">
        <v>17973.41</v>
      </c>
      <c r="J523" s="0" t="n">
        <v>2724.26</v>
      </c>
    </row>
    <row r="524" customFormat="false" ht="15" hidden="false" customHeight="false" outlineLevel="0" collapsed="false">
      <c r="A524" s="0" t="s">
        <v>83</v>
      </c>
      <c r="B524" s="0" t="s">
        <v>13</v>
      </c>
      <c r="C524" s="0" t="n">
        <v>10144</v>
      </c>
      <c r="D524" s="0" t="n">
        <v>330</v>
      </c>
      <c r="E524" s="0" t="n">
        <v>84</v>
      </c>
      <c r="F524" s="0" t="n">
        <v>46</v>
      </c>
      <c r="G524" s="0" t="n">
        <v>36</v>
      </c>
      <c r="H524" s="0" t="n">
        <v>10</v>
      </c>
      <c r="I524" s="0" t="n">
        <v>52848.96</v>
      </c>
      <c r="J524" s="0" t="n">
        <v>5412.99</v>
      </c>
    </row>
    <row r="525" customFormat="false" ht="15" hidden="false" customHeight="false" outlineLevel="0" collapsed="false">
      <c r="A525" s="0" t="s">
        <v>83</v>
      </c>
      <c r="B525" s="0" t="s">
        <v>14</v>
      </c>
      <c r="C525" s="0" t="n">
        <v>13409</v>
      </c>
      <c r="D525" s="0" t="n">
        <v>335</v>
      </c>
      <c r="E525" s="0" t="n">
        <v>53</v>
      </c>
      <c r="F525" s="0" t="n">
        <v>22</v>
      </c>
      <c r="G525" s="0" t="n">
        <v>14</v>
      </c>
      <c r="H525" s="0" t="n">
        <v>3</v>
      </c>
      <c r="I525" s="0" t="n">
        <v>13291.44</v>
      </c>
      <c r="J525" s="0" t="n">
        <v>3944.74</v>
      </c>
    </row>
    <row r="526" customFormat="false" ht="15" hidden="false" customHeight="false" outlineLevel="0" collapsed="false">
      <c r="A526" s="0" t="s">
        <v>83</v>
      </c>
      <c r="B526" s="0" t="s">
        <v>15</v>
      </c>
      <c r="C526" s="0" t="n">
        <v>2532</v>
      </c>
      <c r="D526" s="0" t="n">
        <v>82</v>
      </c>
      <c r="E526" s="0" t="n">
        <v>15</v>
      </c>
      <c r="F526" s="0" t="n">
        <v>10</v>
      </c>
      <c r="G526" s="0" t="n">
        <v>8</v>
      </c>
      <c r="H526" s="0" t="n">
        <v>2</v>
      </c>
      <c r="I526" s="0" t="n">
        <v>28728.59</v>
      </c>
      <c r="J526" s="0" t="n">
        <v>3695.69</v>
      </c>
    </row>
    <row r="527" customFormat="false" ht="15" hidden="false" customHeight="false" outlineLevel="0" collapsed="false">
      <c r="A527" s="0" t="s">
        <v>83</v>
      </c>
      <c r="B527" s="0" t="s">
        <v>16</v>
      </c>
      <c r="C527" s="0" t="n">
        <v>13649</v>
      </c>
      <c r="D527" s="0" t="n">
        <v>653</v>
      </c>
      <c r="E527" s="0" t="n">
        <v>137</v>
      </c>
      <c r="F527" s="0" t="n">
        <v>81</v>
      </c>
      <c r="G527" s="0" t="n">
        <v>56</v>
      </c>
      <c r="H527" s="0" t="n">
        <v>22</v>
      </c>
      <c r="I527" s="0" t="n">
        <v>167730.71</v>
      </c>
      <c r="J527" s="0" t="n">
        <v>1417.75</v>
      </c>
    </row>
    <row r="528" customFormat="false" ht="15" hidden="false" customHeight="false" outlineLevel="0" collapsed="false">
      <c r="A528" s="0" t="s">
        <v>83</v>
      </c>
      <c r="B528" s="0" t="s">
        <v>17</v>
      </c>
      <c r="C528" s="0" t="n">
        <v>1258</v>
      </c>
      <c r="D528" s="0" t="n">
        <v>132</v>
      </c>
      <c r="E528" s="0" t="n">
        <v>54</v>
      </c>
      <c r="F528" s="0" t="n">
        <v>38</v>
      </c>
      <c r="G528" s="0" t="n">
        <v>31</v>
      </c>
      <c r="H528" s="0" t="n">
        <v>13</v>
      </c>
      <c r="I528" s="0" t="n">
        <v>122982.63</v>
      </c>
      <c r="J528" s="0" t="n">
        <v>300.37</v>
      </c>
    </row>
    <row r="529" customFormat="false" ht="15" hidden="false" customHeight="false" outlineLevel="0" collapsed="false">
      <c r="A529" s="0" t="s">
        <v>83</v>
      </c>
      <c r="B529" s="0" t="s">
        <v>18</v>
      </c>
      <c r="C529" s="0" t="n">
        <v>5291</v>
      </c>
      <c r="D529" s="0" t="n">
        <v>105</v>
      </c>
      <c r="E529" s="0" t="n">
        <v>20</v>
      </c>
      <c r="F529" s="0" t="n">
        <v>7</v>
      </c>
      <c r="G529" s="0" t="n">
        <v>4</v>
      </c>
      <c r="H529" s="0" t="n">
        <v>0</v>
      </c>
      <c r="I529" s="0" t="n">
        <v>0</v>
      </c>
      <c r="J529" s="0" t="n">
        <v>1992.83</v>
      </c>
    </row>
    <row r="530" customFormat="false" ht="15" hidden="false" customHeight="false" outlineLevel="0" collapsed="false">
      <c r="A530" s="0" t="s">
        <v>84</v>
      </c>
      <c r="B530" s="0" t="s">
        <v>11</v>
      </c>
      <c r="C530" s="0" t="n">
        <v>6790</v>
      </c>
      <c r="D530" s="0" t="n">
        <v>757</v>
      </c>
      <c r="E530" s="0" t="n">
        <v>253</v>
      </c>
      <c r="F530" s="0" t="n">
        <v>149</v>
      </c>
      <c r="G530" s="0" t="n">
        <v>113</v>
      </c>
      <c r="H530" s="0" t="n">
        <v>43</v>
      </c>
      <c r="I530" s="0" t="n">
        <v>248305.6</v>
      </c>
      <c r="J530" s="0" t="n">
        <v>2456.07</v>
      </c>
    </row>
    <row r="531" customFormat="false" ht="15" hidden="false" customHeight="false" outlineLevel="0" collapsed="false">
      <c r="A531" s="0" t="s">
        <v>84</v>
      </c>
      <c r="B531" s="0" t="s">
        <v>12</v>
      </c>
      <c r="C531" s="0" t="n">
        <v>10457</v>
      </c>
      <c r="D531" s="0" t="n">
        <v>299</v>
      </c>
      <c r="E531" s="0" t="n">
        <v>45</v>
      </c>
      <c r="F531" s="0" t="n">
        <v>20</v>
      </c>
      <c r="G531" s="0" t="n">
        <v>13</v>
      </c>
      <c r="H531" s="0" t="n">
        <v>3</v>
      </c>
      <c r="I531" s="0" t="n">
        <v>13988.11</v>
      </c>
      <c r="J531" s="0" t="n">
        <v>3861.51</v>
      </c>
    </row>
    <row r="532" customFormat="false" ht="15" hidden="false" customHeight="false" outlineLevel="0" collapsed="false">
      <c r="A532" s="0" t="s">
        <v>84</v>
      </c>
      <c r="B532" s="0" t="s">
        <v>13</v>
      </c>
      <c r="C532" s="0" t="n">
        <v>9206</v>
      </c>
      <c r="D532" s="0" t="n">
        <v>477</v>
      </c>
      <c r="E532" s="0" t="n">
        <v>112</v>
      </c>
      <c r="F532" s="0" t="n">
        <v>66</v>
      </c>
      <c r="G532" s="0" t="n">
        <v>50</v>
      </c>
      <c r="H532" s="0" t="n">
        <v>13</v>
      </c>
      <c r="I532" s="0" t="n">
        <v>86702.12</v>
      </c>
      <c r="J532" s="0" t="n">
        <v>10025.29</v>
      </c>
    </row>
    <row r="533" customFormat="false" ht="15" hidden="false" customHeight="false" outlineLevel="0" collapsed="false">
      <c r="A533" s="0" t="s">
        <v>84</v>
      </c>
      <c r="B533" s="0" t="s">
        <v>14</v>
      </c>
      <c r="C533" s="0" t="n">
        <v>12267</v>
      </c>
      <c r="D533" s="0" t="n">
        <v>224</v>
      </c>
      <c r="E533" s="0" t="n">
        <v>44</v>
      </c>
      <c r="F533" s="0" t="n">
        <v>19</v>
      </c>
      <c r="G533" s="0" t="n">
        <v>12</v>
      </c>
      <c r="H533" s="0" t="n">
        <v>3</v>
      </c>
      <c r="I533" s="0" t="n">
        <v>12122.68</v>
      </c>
      <c r="J533" s="0" t="n">
        <v>1961.38</v>
      </c>
    </row>
    <row r="534" customFormat="false" ht="15" hidden="false" customHeight="false" outlineLevel="0" collapsed="false">
      <c r="A534" s="0" t="s">
        <v>84</v>
      </c>
      <c r="B534" s="0" t="s">
        <v>15</v>
      </c>
      <c r="C534" s="0" t="n">
        <v>3687</v>
      </c>
      <c r="D534" s="0" t="n">
        <v>145</v>
      </c>
      <c r="E534" s="0" t="n">
        <v>31</v>
      </c>
      <c r="F534" s="0" t="n">
        <v>18</v>
      </c>
      <c r="G534" s="0" t="n">
        <v>13</v>
      </c>
      <c r="H534" s="0" t="n">
        <v>4</v>
      </c>
      <c r="I534" s="0" t="n">
        <v>53162.04</v>
      </c>
      <c r="J534" s="0" t="n">
        <v>4819.58</v>
      </c>
    </row>
    <row r="535" customFormat="false" ht="15" hidden="false" customHeight="false" outlineLevel="0" collapsed="false">
      <c r="A535" s="0" t="s">
        <v>84</v>
      </c>
      <c r="B535" s="0" t="s">
        <v>16</v>
      </c>
      <c r="C535" s="0" t="n">
        <v>10146</v>
      </c>
      <c r="D535" s="0" t="n">
        <v>585</v>
      </c>
      <c r="E535" s="0" t="n">
        <v>147</v>
      </c>
      <c r="F535" s="0" t="n">
        <v>74</v>
      </c>
      <c r="G535" s="0" t="n">
        <v>57</v>
      </c>
      <c r="H535" s="0" t="n">
        <v>25</v>
      </c>
      <c r="I535" s="0" t="n">
        <v>221592.44</v>
      </c>
      <c r="J535" s="0" t="n">
        <v>1344.06</v>
      </c>
    </row>
    <row r="536" customFormat="false" ht="15" hidden="false" customHeight="false" outlineLevel="0" collapsed="false">
      <c r="A536" s="0" t="s">
        <v>84</v>
      </c>
      <c r="B536" s="0" t="s">
        <v>17</v>
      </c>
      <c r="C536" s="0" t="n">
        <v>1236</v>
      </c>
      <c r="D536" s="0" t="n">
        <v>182</v>
      </c>
      <c r="E536" s="0" t="n">
        <v>83</v>
      </c>
      <c r="F536" s="0" t="n">
        <v>58</v>
      </c>
      <c r="G536" s="0" t="n">
        <v>47</v>
      </c>
      <c r="H536" s="0" t="n">
        <v>20</v>
      </c>
      <c r="I536" s="0" t="n">
        <v>163504.55</v>
      </c>
      <c r="J536" s="0" t="n">
        <v>228.16</v>
      </c>
    </row>
    <row r="537" customFormat="false" ht="15" hidden="false" customHeight="false" outlineLevel="0" collapsed="false">
      <c r="A537" s="0" t="s">
        <v>84</v>
      </c>
      <c r="B537" s="0" t="s">
        <v>18</v>
      </c>
      <c r="C537" s="0" t="n">
        <v>5217</v>
      </c>
      <c r="D537" s="0" t="n">
        <v>128</v>
      </c>
      <c r="E537" s="0" t="n">
        <v>21</v>
      </c>
      <c r="F537" s="0" t="n">
        <v>7</v>
      </c>
      <c r="G537" s="0" t="n">
        <v>4</v>
      </c>
      <c r="H537" s="0" t="n">
        <v>0</v>
      </c>
      <c r="I537" s="0" t="n">
        <v>0</v>
      </c>
      <c r="J537" s="0" t="n">
        <v>2396.05</v>
      </c>
    </row>
    <row r="538" customFormat="false" ht="15" hidden="false" customHeight="false" outlineLevel="0" collapsed="false">
      <c r="A538" s="0" t="s">
        <v>85</v>
      </c>
      <c r="B538" s="0" t="s">
        <v>11</v>
      </c>
      <c r="C538" s="0" t="n">
        <v>5017</v>
      </c>
      <c r="D538" s="0" t="n">
        <v>730</v>
      </c>
      <c r="E538" s="0" t="n">
        <v>268</v>
      </c>
      <c r="F538" s="0" t="n">
        <v>160</v>
      </c>
      <c r="G538" s="0" t="n">
        <v>132</v>
      </c>
      <c r="H538" s="0" t="n">
        <v>52</v>
      </c>
      <c r="I538" s="0" t="n">
        <v>362182.21</v>
      </c>
      <c r="J538" s="0" t="n">
        <v>1508.32</v>
      </c>
    </row>
    <row r="539" customFormat="false" ht="15" hidden="false" customHeight="false" outlineLevel="0" collapsed="false">
      <c r="A539" s="0" t="s">
        <v>85</v>
      </c>
      <c r="B539" s="0" t="s">
        <v>12</v>
      </c>
      <c r="C539" s="0" t="n">
        <v>8263</v>
      </c>
      <c r="D539" s="0" t="n">
        <v>142</v>
      </c>
      <c r="E539" s="0" t="n">
        <v>27</v>
      </c>
      <c r="F539" s="0" t="n">
        <v>13</v>
      </c>
      <c r="G539" s="0" t="n">
        <v>8</v>
      </c>
      <c r="H539" s="0" t="n">
        <v>2</v>
      </c>
      <c r="I539" s="0" t="n">
        <v>10346.5</v>
      </c>
      <c r="J539" s="0" t="n">
        <v>1886.6</v>
      </c>
    </row>
    <row r="540" customFormat="false" ht="15" hidden="false" customHeight="false" outlineLevel="0" collapsed="false">
      <c r="A540" s="0" t="s">
        <v>85</v>
      </c>
      <c r="B540" s="0" t="s">
        <v>13</v>
      </c>
      <c r="C540" s="0" t="n">
        <v>7186</v>
      </c>
      <c r="D540" s="0" t="n">
        <v>388</v>
      </c>
      <c r="E540" s="0" t="n">
        <v>98</v>
      </c>
      <c r="F540" s="0" t="n">
        <v>50</v>
      </c>
      <c r="G540" s="0" t="n">
        <v>39</v>
      </c>
      <c r="H540" s="0" t="n">
        <v>13</v>
      </c>
      <c r="I540" s="0" t="n">
        <v>76556.71</v>
      </c>
      <c r="J540" s="0" t="n">
        <v>6969.69</v>
      </c>
    </row>
    <row r="541" customFormat="false" ht="15" hidden="false" customHeight="false" outlineLevel="0" collapsed="false">
      <c r="A541" s="0" t="s">
        <v>85</v>
      </c>
      <c r="B541" s="0" t="s">
        <v>14</v>
      </c>
      <c r="C541" s="0" t="n">
        <v>13695</v>
      </c>
      <c r="D541" s="0" t="n">
        <v>181</v>
      </c>
      <c r="E541" s="0" t="n">
        <v>31</v>
      </c>
      <c r="F541" s="0" t="n">
        <v>14</v>
      </c>
      <c r="G541" s="0" t="n">
        <v>10</v>
      </c>
      <c r="H541" s="0" t="n">
        <v>2</v>
      </c>
      <c r="I541" s="0" t="n">
        <v>11363.52</v>
      </c>
      <c r="J541" s="0" t="n">
        <v>1618.05</v>
      </c>
    </row>
    <row r="542" customFormat="false" ht="15" hidden="false" customHeight="false" outlineLevel="0" collapsed="false">
      <c r="A542" s="0" t="s">
        <v>85</v>
      </c>
      <c r="B542" s="0" t="s">
        <v>15</v>
      </c>
      <c r="C542" s="0" t="n">
        <v>2122</v>
      </c>
      <c r="D542" s="0" t="n">
        <v>79</v>
      </c>
      <c r="E542" s="0" t="n">
        <v>21</v>
      </c>
      <c r="F542" s="0" t="n">
        <v>13</v>
      </c>
      <c r="G542" s="0" t="n">
        <v>10</v>
      </c>
      <c r="H542" s="0" t="n">
        <v>3</v>
      </c>
      <c r="I542" s="0" t="n">
        <v>37744.25</v>
      </c>
      <c r="J542" s="0" t="n">
        <v>3010.57</v>
      </c>
    </row>
    <row r="543" customFormat="false" ht="15" hidden="false" customHeight="false" outlineLevel="0" collapsed="false">
      <c r="A543" s="0" t="s">
        <v>85</v>
      </c>
      <c r="B543" s="0" t="s">
        <v>16</v>
      </c>
      <c r="C543" s="0" t="n">
        <v>5758</v>
      </c>
      <c r="D543" s="0" t="n">
        <v>417</v>
      </c>
      <c r="E543" s="0" t="n">
        <v>92</v>
      </c>
      <c r="F543" s="0" t="n">
        <v>47</v>
      </c>
      <c r="G543" s="0" t="n">
        <v>34</v>
      </c>
      <c r="H543" s="0" t="n">
        <v>14</v>
      </c>
      <c r="I543" s="0" t="n">
        <v>86291.75</v>
      </c>
      <c r="J543" s="0" t="n">
        <v>734.71</v>
      </c>
    </row>
    <row r="544" customFormat="false" ht="15" hidden="false" customHeight="false" outlineLevel="0" collapsed="false">
      <c r="A544" s="0" t="s">
        <v>85</v>
      </c>
      <c r="B544" s="0" t="s">
        <v>17</v>
      </c>
      <c r="C544" s="0" t="n">
        <v>2378</v>
      </c>
      <c r="D544" s="0" t="n">
        <v>452</v>
      </c>
      <c r="E544" s="0" t="n">
        <v>198</v>
      </c>
      <c r="F544" s="0" t="n">
        <v>132</v>
      </c>
      <c r="G544" s="0" t="n">
        <v>108</v>
      </c>
      <c r="H544" s="0" t="n">
        <v>43</v>
      </c>
      <c r="I544" s="0" t="n">
        <v>407597.96</v>
      </c>
      <c r="J544" s="0" t="n">
        <v>1193.72</v>
      </c>
    </row>
    <row r="545" customFormat="false" ht="15" hidden="false" customHeight="false" outlineLevel="0" collapsed="false">
      <c r="A545" s="0" t="s">
        <v>85</v>
      </c>
      <c r="B545" s="0" t="s">
        <v>18</v>
      </c>
      <c r="C545" s="0" t="n">
        <v>7748</v>
      </c>
      <c r="D545" s="0" t="n">
        <v>132</v>
      </c>
      <c r="E545" s="0" t="n">
        <v>27</v>
      </c>
      <c r="F545" s="0" t="n">
        <v>11</v>
      </c>
      <c r="G545" s="0" t="n">
        <v>7</v>
      </c>
      <c r="H545" s="0" t="n">
        <v>1</v>
      </c>
      <c r="I545" s="0" t="n">
        <v>5197.13</v>
      </c>
      <c r="J545" s="0" t="n">
        <v>2355.42</v>
      </c>
    </row>
    <row r="546" customFormat="false" ht="15" hidden="false" customHeight="false" outlineLevel="0" collapsed="false">
      <c r="A546" s="0" t="s">
        <v>86</v>
      </c>
      <c r="B546" s="0" t="s">
        <v>11</v>
      </c>
      <c r="C546" s="0" t="n">
        <v>7390</v>
      </c>
      <c r="D546" s="0" t="n">
        <v>879</v>
      </c>
      <c r="E546" s="0" t="n">
        <v>348</v>
      </c>
      <c r="F546" s="0" t="n">
        <v>193</v>
      </c>
      <c r="G546" s="0" t="n">
        <v>146</v>
      </c>
      <c r="H546" s="0" t="n">
        <v>44</v>
      </c>
      <c r="I546" s="0" t="n">
        <v>267631.77</v>
      </c>
      <c r="J546" s="0" t="n">
        <v>2246.58</v>
      </c>
    </row>
    <row r="547" customFormat="false" ht="15" hidden="false" customHeight="false" outlineLevel="0" collapsed="false">
      <c r="A547" s="0" t="s">
        <v>86</v>
      </c>
      <c r="B547" s="0" t="s">
        <v>12</v>
      </c>
      <c r="C547" s="0" t="n">
        <v>8715</v>
      </c>
      <c r="D547" s="0" t="n">
        <v>209</v>
      </c>
      <c r="E547" s="0" t="n">
        <v>47</v>
      </c>
      <c r="F547" s="0" t="n">
        <v>22</v>
      </c>
      <c r="G547" s="0" t="n">
        <v>15</v>
      </c>
      <c r="H547" s="0" t="n">
        <v>3</v>
      </c>
      <c r="I547" s="0" t="n">
        <v>14651</v>
      </c>
      <c r="J547" s="0" t="n">
        <v>1789.19</v>
      </c>
    </row>
    <row r="548" customFormat="false" ht="15" hidden="false" customHeight="false" outlineLevel="0" collapsed="false">
      <c r="A548" s="0" t="s">
        <v>86</v>
      </c>
      <c r="B548" s="0" t="s">
        <v>13</v>
      </c>
      <c r="C548" s="0" t="n">
        <v>9141</v>
      </c>
      <c r="D548" s="0" t="n">
        <v>536</v>
      </c>
      <c r="E548" s="0" t="n">
        <v>136</v>
      </c>
      <c r="F548" s="0" t="n">
        <v>80</v>
      </c>
      <c r="G548" s="0" t="n">
        <v>58</v>
      </c>
      <c r="H548" s="0" t="n">
        <v>18</v>
      </c>
      <c r="I548" s="0" t="n">
        <v>99981.27</v>
      </c>
      <c r="J548" s="0" t="n">
        <v>10567.82</v>
      </c>
    </row>
    <row r="549" customFormat="false" ht="15" hidden="false" customHeight="false" outlineLevel="0" collapsed="false">
      <c r="A549" s="0" t="s">
        <v>86</v>
      </c>
      <c r="B549" s="0" t="s">
        <v>14</v>
      </c>
      <c r="C549" s="0" t="n">
        <v>8797</v>
      </c>
      <c r="D549" s="0" t="n">
        <v>131</v>
      </c>
      <c r="E549" s="0" t="n">
        <v>19</v>
      </c>
      <c r="F549" s="0" t="n">
        <v>8</v>
      </c>
      <c r="G549" s="0" t="n">
        <v>4</v>
      </c>
      <c r="H549" s="0" t="n">
        <v>0</v>
      </c>
      <c r="I549" s="0" t="n">
        <v>0</v>
      </c>
      <c r="J549" s="0" t="n">
        <v>1386.24</v>
      </c>
    </row>
    <row r="550" customFormat="false" ht="15" hidden="false" customHeight="false" outlineLevel="0" collapsed="false">
      <c r="A550" s="0" t="s">
        <v>86</v>
      </c>
      <c r="B550" s="0" t="s">
        <v>15</v>
      </c>
      <c r="C550" s="0" t="n">
        <v>3531</v>
      </c>
      <c r="D550" s="0" t="n">
        <v>129</v>
      </c>
      <c r="E550" s="0" t="n">
        <v>25</v>
      </c>
      <c r="F550" s="0" t="n">
        <v>16</v>
      </c>
      <c r="G550" s="0" t="n">
        <v>11</v>
      </c>
      <c r="H550" s="0" t="n">
        <v>3</v>
      </c>
      <c r="I550" s="0" t="n">
        <v>38490.28</v>
      </c>
      <c r="J550" s="0" t="n">
        <v>5350.57</v>
      </c>
    </row>
    <row r="551" customFormat="false" ht="15" hidden="false" customHeight="false" outlineLevel="0" collapsed="false">
      <c r="A551" s="0" t="s">
        <v>86</v>
      </c>
      <c r="B551" s="0" t="s">
        <v>16</v>
      </c>
      <c r="C551" s="0" t="n">
        <v>11810</v>
      </c>
      <c r="D551" s="0" t="n">
        <v>493</v>
      </c>
      <c r="E551" s="0" t="n">
        <v>135</v>
      </c>
      <c r="F551" s="0" t="n">
        <v>78</v>
      </c>
      <c r="G551" s="0" t="n">
        <v>55</v>
      </c>
      <c r="H551" s="0" t="n">
        <v>19</v>
      </c>
      <c r="I551" s="0" t="n">
        <v>121235.83</v>
      </c>
      <c r="J551" s="0" t="n">
        <v>660.51</v>
      </c>
    </row>
    <row r="552" customFormat="false" ht="15" hidden="false" customHeight="false" outlineLevel="0" collapsed="false">
      <c r="A552" s="0" t="s">
        <v>86</v>
      </c>
      <c r="B552" s="0" t="s">
        <v>17</v>
      </c>
      <c r="C552" s="0" t="n">
        <v>1369</v>
      </c>
      <c r="D552" s="0" t="n">
        <v>207</v>
      </c>
      <c r="E552" s="0" t="n">
        <v>87</v>
      </c>
      <c r="F552" s="0" t="n">
        <v>59</v>
      </c>
      <c r="G552" s="0" t="n">
        <v>51</v>
      </c>
      <c r="H552" s="0" t="n">
        <v>23</v>
      </c>
      <c r="I552" s="0" t="n">
        <v>170836.4</v>
      </c>
      <c r="J552" s="0" t="n">
        <v>599.88</v>
      </c>
    </row>
    <row r="553" customFormat="false" ht="15" hidden="false" customHeight="false" outlineLevel="0" collapsed="false">
      <c r="A553" s="0" t="s">
        <v>86</v>
      </c>
      <c r="B553" s="0" t="s">
        <v>18</v>
      </c>
      <c r="C553" s="0" t="n">
        <v>7674</v>
      </c>
      <c r="D553" s="0" t="n">
        <v>161</v>
      </c>
      <c r="E553" s="0" t="n">
        <v>25</v>
      </c>
      <c r="F553" s="0" t="n">
        <v>8</v>
      </c>
      <c r="G553" s="0" t="n">
        <v>5</v>
      </c>
      <c r="H553" s="0" t="n">
        <v>1</v>
      </c>
      <c r="I553" s="0" t="n">
        <v>4979.29</v>
      </c>
      <c r="J553" s="0" t="n">
        <v>2271.37</v>
      </c>
    </row>
    <row r="554" customFormat="false" ht="15" hidden="false" customHeight="false" outlineLevel="0" collapsed="false">
      <c r="A554" s="0" t="s">
        <v>87</v>
      </c>
      <c r="B554" s="0" t="s">
        <v>11</v>
      </c>
      <c r="C554" s="0" t="n">
        <v>4670</v>
      </c>
      <c r="D554" s="0" t="n">
        <v>612</v>
      </c>
      <c r="E554" s="0" t="n">
        <v>209</v>
      </c>
      <c r="F554" s="0" t="n">
        <v>127</v>
      </c>
      <c r="G554" s="0" t="n">
        <v>105</v>
      </c>
      <c r="H554" s="0" t="n">
        <v>39</v>
      </c>
      <c r="I554" s="0" t="n">
        <v>199650.15</v>
      </c>
      <c r="J554" s="0" t="n">
        <v>2814.75</v>
      </c>
    </row>
    <row r="555" customFormat="false" ht="15" hidden="false" customHeight="false" outlineLevel="0" collapsed="false">
      <c r="A555" s="0" t="s">
        <v>87</v>
      </c>
      <c r="B555" s="0" t="s">
        <v>12</v>
      </c>
      <c r="C555" s="0" t="n">
        <v>11784</v>
      </c>
      <c r="D555" s="0" t="n">
        <v>246</v>
      </c>
      <c r="E555" s="0" t="n">
        <v>42</v>
      </c>
      <c r="F555" s="0" t="n">
        <v>17</v>
      </c>
      <c r="G555" s="0" t="n">
        <v>11</v>
      </c>
      <c r="H555" s="0" t="n">
        <v>3</v>
      </c>
      <c r="I555" s="0" t="n">
        <v>15281.57</v>
      </c>
      <c r="J555" s="0" t="n">
        <v>3134.73</v>
      </c>
    </row>
    <row r="556" customFormat="false" ht="15" hidden="false" customHeight="false" outlineLevel="0" collapsed="false">
      <c r="A556" s="0" t="s">
        <v>87</v>
      </c>
      <c r="B556" s="0" t="s">
        <v>13</v>
      </c>
      <c r="C556" s="0" t="n">
        <v>9154</v>
      </c>
      <c r="D556" s="0" t="n">
        <v>281</v>
      </c>
      <c r="E556" s="0" t="n">
        <v>65</v>
      </c>
      <c r="F556" s="0" t="n">
        <v>34</v>
      </c>
      <c r="G556" s="0" t="n">
        <v>24</v>
      </c>
      <c r="H556" s="0" t="n">
        <v>8</v>
      </c>
      <c r="I556" s="0" t="n">
        <v>57487.75</v>
      </c>
      <c r="J556" s="0" t="n">
        <v>5618.2</v>
      </c>
    </row>
    <row r="557" customFormat="false" ht="15" hidden="false" customHeight="false" outlineLevel="0" collapsed="false">
      <c r="A557" s="0" t="s">
        <v>87</v>
      </c>
      <c r="B557" s="0" t="s">
        <v>14</v>
      </c>
      <c r="C557" s="0" t="n">
        <v>12225</v>
      </c>
      <c r="D557" s="0" t="n">
        <v>327</v>
      </c>
      <c r="E557" s="0" t="n">
        <v>44</v>
      </c>
      <c r="F557" s="0" t="n">
        <v>18</v>
      </c>
      <c r="G557" s="0" t="n">
        <v>11</v>
      </c>
      <c r="H557" s="0" t="n">
        <v>2</v>
      </c>
      <c r="I557" s="0" t="n">
        <v>8562.68</v>
      </c>
      <c r="J557" s="0" t="n">
        <v>4560.87</v>
      </c>
    </row>
    <row r="558" customFormat="false" ht="15" hidden="false" customHeight="false" outlineLevel="0" collapsed="false">
      <c r="A558" s="0" t="s">
        <v>87</v>
      </c>
      <c r="B558" s="0" t="s">
        <v>15</v>
      </c>
      <c r="C558" s="0" t="n">
        <v>5497</v>
      </c>
      <c r="D558" s="0" t="n">
        <v>201</v>
      </c>
      <c r="E558" s="0" t="n">
        <v>40</v>
      </c>
      <c r="F558" s="0" t="n">
        <v>26</v>
      </c>
      <c r="G558" s="0" t="n">
        <v>20</v>
      </c>
      <c r="H558" s="0" t="n">
        <v>7</v>
      </c>
      <c r="I558" s="0" t="n">
        <v>97970.53</v>
      </c>
      <c r="J558" s="0" t="n">
        <v>6757.19</v>
      </c>
    </row>
    <row r="559" customFormat="false" ht="15" hidden="false" customHeight="false" outlineLevel="0" collapsed="false">
      <c r="A559" s="0" t="s">
        <v>87</v>
      </c>
      <c r="B559" s="0" t="s">
        <v>16</v>
      </c>
      <c r="C559" s="0" t="n">
        <v>12228</v>
      </c>
      <c r="D559" s="0" t="n">
        <v>557</v>
      </c>
      <c r="E559" s="0" t="n">
        <v>129</v>
      </c>
      <c r="F559" s="0" t="n">
        <v>71</v>
      </c>
      <c r="G559" s="0" t="n">
        <v>51</v>
      </c>
      <c r="H559" s="0" t="n">
        <v>20</v>
      </c>
      <c r="I559" s="0" t="n">
        <v>128113.04</v>
      </c>
      <c r="J559" s="0" t="n">
        <v>1667.13</v>
      </c>
    </row>
    <row r="560" customFormat="false" ht="15" hidden="false" customHeight="false" outlineLevel="0" collapsed="false">
      <c r="A560" s="0" t="s">
        <v>87</v>
      </c>
      <c r="B560" s="0" t="s">
        <v>17</v>
      </c>
      <c r="C560" s="0" t="n">
        <v>3026</v>
      </c>
      <c r="D560" s="0" t="n">
        <v>422</v>
      </c>
      <c r="E560" s="0" t="n">
        <v>174</v>
      </c>
      <c r="F560" s="0" t="n">
        <v>115</v>
      </c>
      <c r="G560" s="0" t="n">
        <v>100</v>
      </c>
      <c r="H560" s="0" t="n">
        <v>48</v>
      </c>
      <c r="I560" s="0" t="n">
        <v>478780.72</v>
      </c>
      <c r="J560" s="0" t="n">
        <v>1187.54</v>
      </c>
    </row>
    <row r="561" customFormat="false" ht="15" hidden="false" customHeight="false" outlineLevel="0" collapsed="false">
      <c r="A561" s="0" t="s">
        <v>87</v>
      </c>
      <c r="B561" s="0" t="s">
        <v>18</v>
      </c>
      <c r="C561" s="0" t="n">
        <v>6458</v>
      </c>
      <c r="D561" s="0" t="n">
        <v>110</v>
      </c>
      <c r="E561" s="0" t="n">
        <v>21</v>
      </c>
      <c r="F561" s="0" t="n">
        <v>8</v>
      </c>
      <c r="G561" s="0" t="n">
        <v>5</v>
      </c>
      <c r="H561" s="0" t="n">
        <v>0</v>
      </c>
      <c r="I561" s="0" t="n">
        <v>0</v>
      </c>
      <c r="J561" s="0" t="n">
        <v>1753.16</v>
      </c>
    </row>
    <row r="562" customFormat="false" ht="15" hidden="false" customHeight="false" outlineLevel="0" collapsed="false">
      <c r="A562" s="0" t="s">
        <v>88</v>
      </c>
      <c r="B562" s="0" t="s">
        <v>11</v>
      </c>
      <c r="C562" s="0" t="n">
        <v>3457</v>
      </c>
      <c r="D562" s="0" t="n">
        <v>427</v>
      </c>
      <c r="E562" s="0" t="n">
        <v>151</v>
      </c>
      <c r="F562" s="0" t="n">
        <v>89</v>
      </c>
      <c r="G562" s="0" t="n">
        <v>71</v>
      </c>
      <c r="H562" s="0" t="n">
        <v>27</v>
      </c>
      <c r="I562" s="0" t="n">
        <v>136218.48</v>
      </c>
      <c r="J562" s="0" t="n">
        <v>1105.45</v>
      </c>
    </row>
    <row r="563" customFormat="false" ht="15" hidden="false" customHeight="false" outlineLevel="0" collapsed="false">
      <c r="A563" s="0" t="s">
        <v>88</v>
      </c>
      <c r="B563" s="0" t="s">
        <v>12</v>
      </c>
      <c r="C563" s="0" t="n">
        <v>17362</v>
      </c>
      <c r="D563" s="0" t="n">
        <v>407</v>
      </c>
      <c r="E563" s="0" t="n">
        <v>71</v>
      </c>
      <c r="F563" s="0" t="n">
        <v>35</v>
      </c>
      <c r="G563" s="0" t="n">
        <v>25</v>
      </c>
      <c r="H563" s="0" t="n">
        <v>6</v>
      </c>
      <c r="I563" s="0" t="n">
        <v>31321.3</v>
      </c>
      <c r="J563" s="0" t="n">
        <v>5350.09</v>
      </c>
    </row>
    <row r="564" customFormat="false" ht="15" hidden="false" customHeight="false" outlineLevel="0" collapsed="false">
      <c r="A564" s="0" t="s">
        <v>88</v>
      </c>
      <c r="B564" s="0" t="s">
        <v>13</v>
      </c>
      <c r="C564" s="0" t="n">
        <v>6614</v>
      </c>
      <c r="D564" s="0" t="n">
        <v>292</v>
      </c>
      <c r="E564" s="0" t="n">
        <v>74</v>
      </c>
      <c r="F564" s="0" t="n">
        <v>43</v>
      </c>
      <c r="G564" s="0" t="n">
        <v>31</v>
      </c>
      <c r="H564" s="0" t="n">
        <v>10</v>
      </c>
      <c r="I564" s="0" t="n">
        <v>60644.96</v>
      </c>
      <c r="J564" s="0" t="n">
        <v>4161.58</v>
      </c>
    </row>
    <row r="565" customFormat="false" ht="15" hidden="false" customHeight="false" outlineLevel="0" collapsed="false">
      <c r="A565" s="0" t="s">
        <v>88</v>
      </c>
      <c r="B565" s="0" t="s">
        <v>14</v>
      </c>
      <c r="C565" s="0" t="n">
        <v>12369</v>
      </c>
      <c r="D565" s="0" t="n">
        <v>174</v>
      </c>
      <c r="E565" s="0" t="n">
        <v>26</v>
      </c>
      <c r="F565" s="0" t="n">
        <v>11</v>
      </c>
      <c r="G565" s="0" t="n">
        <v>7</v>
      </c>
      <c r="H565" s="0" t="n">
        <v>1</v>
      </c>
      <c r="I565" s="0" t="n">
        <v>3812.93</v>
      </c>
      <c r="J565" s="0" t="n">
        <v>1569.01</v>
      </c>
    </row>
    <row r="566" customFormat="false" ht="15" hidden="false" customHeight="false" outlineLevel="0" collapsed="false">
      <c r="A566" s="0" t="s">
        <v>88</v>
      </c>
      <c r="B566" s="0" t="s">
        <v>15</v>
      </c>
      <c r="C566" s="0" t="n">
        <v>3984</v>
      </c>
      <c r="D566" s="0" t="n">
        <v>102</v>
      </c>
      <c r="E566" s="0" t="n">
        <v>25</v>
      </c>
      <c r="F566" s="0" t="n">
        <v>15</v>
      </c>
      <c r="G566" s="0" t="n">
        <v>11</v>
      </c>
      <c r="H566" s="0" t="n">
        <v>4</v>
      </c>
      <c r="I566" s="0" t="n">
        <v>49432.99</v>
      </c>
      <c r="J566" s="0" t="n">
        <v>3415.79</v>
      </c>
    </row>
    <row r="567" customFormat="false" ht="15" hidden="false" customHeight="false" outlineLevel="0" collapsed="false">
      <c r="A567" s="0" t="s">
        <v>88</v>
      </c>
      <c r="B567" s="0" t="s">
        <v>16</v>
      </c>
      <c r="C567" s="0" t="n">
        <v>13754</v>
      </c>
      <c r="D567" s="0" t="n">
        <v>867</v>
      </c>
      <c r="E567" s="0" t="n">
        <v>235</v>
      </c>
      <c r="F567" s="0" t="n">
        <v>131</v>
      </c>
      <c r="G567" s="0" t="n">
        <v>101</v>
      </c>
      <c r="H567" s="0" t="n">
        <v>39</v>
      </c>
      <c r="I567" s="0" t="n">
        <v>340825.85</v>
      </c>
      <c r="J567" s="0" t="n">
        <v>2167.26</v>
      </c>
    </row>
    <row r="568" customFormat="false" ht="15" hidden="false" customHeight="false" outlineLevel="0" collapsed="false">
      <c r="A568" s="0" t="s">
        <v>88</v>
      </c>
      <c r="B568" s="0" t="s">
        <v>17</v>
      </c>
      <c r="C568" s="0" t="n">
        <v>2716</v>
      </c>
      <c r="D568" s="0" t="n">
        <v>320</v>
      </c>
      <c r="E568" s="0" t="n">
        <v>136</v>
      </c>
      <c r="F568" s="0" t="n">
        <v>91</v>
      </c>
      <c r="G568" s="0" t="n">
        <v>73</v>
      </c>
      <c r="H568" s="0" t="n">
        <v>31</v>
      </c>
      <c r="I568" s="0" t="n">
        <v>271683.22</v>
      </c>
      <c r="J568" s="0" t="n">
        <v>675.29</v>
      </c>
    </row>
    <row r="569" customFormat="false" ht="15" hidden="false" customHeight="false" outlineLevel="0" collapsed="false">
      <c r="A569" s="0" t="s">
        <v>88</v>
      </c>
      <c r="B569" s="0" t="s">
        <v>18</v>
      </c>
      <c r="C569" s="0" t="n">
        <v>7985</v>
      </c>
      <c r="D569" s="0" t="n">
        <v>178</v>
      </c>
      <c r="E569" s="0" t="n">
        <v>27</v>
      </c>
      <c r="F569" s="0" t="n">
        <v>9</v>
      </c>
      <c r="G569" s="0" t="n">
        <v>5</v>
      </c>
      <c r="H569" s="0" t="n">
        <v>1</v>
      </c>
      <c r="I569" s="0" t="n">
        <v>4566.57</v>
      </c>
      <c r="J569" s="0" t="n">
        <v>2160.91</v>
      </c>
    </row>
    <row r="570" customFormat="false" ht="15" hidden="false" customHeight="false" outlineLevel="0" collapsed="false">
      <c r="A570" s="0" t="s">
        <v>89</v>
      </c>
      <c r="B570" s="0" t="s">
        <v>11</v>
      </c>
      <c r="C570" s="0" t="n">
        <v>5053</v>
      </c>
      <c r="D570" s="0" t="n">
        <v>478</v>
      </c>
      <c r="E570" s="0" t="n">
        <v>190</v>
      </c>
      <c r="F570" s="0" t="n">
        <v>116</v>
      </c>
      <c r="G570" s="0" t="n">
        <v>97</v>
      </c>
      <c r="H570" s="0" t="n">
        <v>32</v>
      </c>
      <c r="I570" s="0" t="n">
        <v>209014.95</v>
      </c>
      <c r="J570" s="0" t="n">
        <v>2077.23</v>
      </c>
    </row>
    <row r="571" customFormat="false" ht="15" hidden="false" customHeight="false" outlineLevel="0" collapsed="false">
      <c r="A571" s="0" t="s">
        <v>89</v>
      </c>
      <c r="B571" s="0" t="s">
        <v>12</v>
      </c>
      <c r="C571" s="0" t="n">
        <v>9845</v>
      </c>
      <c r="D571" s="0" t="n">
        <v>278</v>
      </c>
      <c r="E571" s="0" t="n">
        <v>54</v>
      </c>
      <c r="F571" s="0" t="n">
        <v>26</v>
      </c>
      <c r="G571" s="0" t="n">
        <v>19</v>
      </c>
      <c r="H571" s="0" t="n">
        <v>5</v>
      </c>
      <c r="I571" s="0" t="n">
        <v>29969.49</v>
      </c>
      <c r="J571" s="0" t="n">
        <v>4037.17</v>
      </c>
    </row>
    <row r="572" customFormat="false" ht="15" hidden="false" customHeight="false" outlineLevel="0" collapsed="false">
      <c r="A572" s="0" t="s">
        <v>89</v>
      </c>
      <c r="B572" s="0" t="s">
        <v>13</v>
      </c>
      <c r="C572" s="0" t="n">
        <v>9003</v>
      </c>
      <c r="D572" s="0" t="n">
        <v>489</v>
      </c>
      <c r="E572" s="0" t="n">
        <v>98</v>
      </c>
      <c r="F572" s="0" t="n">
        <v>58</v>
      </c>
      <c r="G572" s="0" t="n">
        <v>46</v>
      </c>
      <c r="H572" s="0" t="n">
        <v>15</v>
      </c>
      <c r="I572" s="0" t="n">
        <v>75906.2</v>
      </c>
      <c r="J572" s="0" t="n">
        <v>11407.16</v>
      </c>
    </row>
    <row r="573" customFormat="false" ht="15" hidden="false" customHeight="false" outlineLevel="0" collapsed="false">
      <c r="A573" s="0" t="s">
        <v>89</v>
      </c>
      <c r="B573" s="0" t="s">
        <v>14</v>
      </c>
      <c r="C573" s="0" t="n">
        <v>14921</v>
      </c>
      <c r="D573" s="0" t="n">
        <v>247</v>
      </c>
      <c r="E573" s="0" t="n">
        <v>51</v>
      </c>
      <c r="F573" s="0" t="n">
        <v>19</v>
      </c>
      <c r="G573" s="0" t="n">
        <v>12</v>
      </c>
      <c r="H573" s="0" t="n">
        <v>3</v>
      </c>
      <c r="I573" s="0" t="n">
        <v>12723.91</v>
      </c>
      <c r="J573" s="0" t="n">
        <v>2171.96</v>
      </c>
    </row>
    <row r="574" customFormat="false" ht="15" hidden="false" customHeight="false" outlineLevel="0" collapsed="false">
      <c r="A574" s="0" t="s">
        <v>89</v>
      </c>
      <c r="B574" s="0" t="s">
        <v>15</v>
      </c>
      <c r="C574" s="0" t="n">
        <v>2552</v>
      </c>
      <c r="D574" s="0" t="n">
        <v>94</v>
      </c>
      <c r="E574" s="0" t="n">
        <v>21</v>
      </c>
      <c r="F574" s="0" t="n">
        <v>14</v>
      </c>
      <c r="G574" s="0" t="n">
        <v>10</v>
      </c>
      <c r="H574" s="0" t="n">
        <v>3</v>
      </c>
      <c r="I574" s="0" t="n">
        <v>34688.97</v>
      </c>
      <c r="J574" s="0" t="n">
        <v>4248.81</v>
      </c>
    </row>
    <row r="575" customFormat="false" ht="15" hidden="false" customHeight="false" outlineLevel="0" collapsed="false">
      <c r="A575" s="0" t="s">
        <v>89</v>
      </c>
      <c r="B575" s="0" t="s">
        <v>16</v>
      </c>
      <c r="C575" s="0" t="n">
        <v>12224</v>
      </c>
      <c r="D575" s="0" t="n">
        <v>961</v>
      </c>
      <c r="E575" s="0" t="n">
        <v>222</v>
      </c>
      <c r="F575" s="0" t="n">
        <v>113</v>
      </c>
      <c r="G575" s="0" t="n">
        <v>85</v>
      </c>
      <c r="H575" s="0" t="n">
        <v>35</v>
      </c>
      <c r="I575" s="0" t="n">
        <v>231715.88</v>
      </c>
      <c r="J575" s="0" t="n">
        <v>2066.27</v>
      </c>
    </row>
    <row r="576" customFormat="false" ht="15" hidden="false" customHeight="false" outlineLevel="0" collapsed="false">
      <c r="A576" s="0" t="s">
        <v>89</v>
      </c>
      <c r="B576" s="0" t="s">
        <v>17</v>
      </c>
      <c r="C576" s="0" t="n">
        <v>2513</v>
      </c>
      <c r="D576" s="0" t="n">
        <v>329</v>
      </c>
      <c r="E576" s="0" t="n">
        <v>145</v>
      </c>
      <c r="F576" s="0" t="n">
        <v>103</v>
      </c>
      <c r="G576" s="0" t="n">
        <v>88</v>
      </c>
      <c r="H576" s="0" t="n">
        <v>37</v>
      </c>
      <c r="I576" s="0" t="n">
        <v>288876.93</v>
      </c>
      <c r="J576" s="0" t="n">
        <v>595.7</v>
      </c>
    </row>
    <row r="577" customFormat="false" ht="15" hidden="false" customHeight="false" outlineLevel="0" collapsed="false">
      <c r="A577" s="0" t="s">
        <v>89</v>
      </c>
      <c r="B577" s="0" t="s">
        <v>18</v>
      </c>
      <c r="C577" s="0" t="n">
        <v>6390</v>
      </c>
      <c r="D577" s="0" t="n">
        <v>164</v>
      </c>
      <c r="E577" s="0" t="n">
        <v>35</v>
      </c>
      <c r="F577" s="0" t="n">
        <v>14</v>
      </c>
      <c r="G577" s="0" t="n">
        <v>9</v>
      </c>
      <c r="H577" s="0" t="n">
        <v>2</v>
      </c>
      <c r="I577" s="0" t="n">
        <v>8731.25</v>
      </c>
      <c r="J577" s="0" t="n">
        <v>3027.64</v>
      </c>
    </row>
    <row r="578" customFormat="false" ht="15" hidden="false" customHeight="false" outlineLevel="0" collapsed="false">
      <c r="A578" s="0" t="s">
        <v>90</v>
      </c>
      <c r="B578" s="0" t="s">
        <v>11</v>
      </c>
      <c r="C578" s="0" t="n">
        <v>7728</v>
      </c>
      <c r="D578" s="0" t="n">
        <v>787</v>
      </c>
      <c r="E578" s="0" t="n">
        <v>303</v>
      </c>
      <c r="F578" s="0" t="n">
        <v>170</v>
      </c>
      <c r="G578" s="0" t="n">
        <v>139</v>
      </c>
      <c r="H578" s="0" t="n">
        <v>52</v>
      </c>
      <c r="I578" s="0" t="n">
        <v>286240.73</v>
      </c>
      <c r="J578" s="0" t="n">
        <v>3174.1</v>
      </c>
    </row>
    <row r="579" customFormat="false" ht="15" hidden="false" customHeight="false" outlineLevel="0" collapsed="false">
      <c r="A579" s="0" t="s">
        <v>90</v>
      </c>
      <c r="B579" s="0" t="s">
        <v>12</v>
      </c>
      <c r="C579" s="0" t="n">
        <v>17705</v>
      </c>
      <c r="D579" s="0" t="n">
        <v>498</v>
      </c>
      <c r="E579" s="0" t="n">
        <v>89</v>
      </c>
      <c r="F579" s="0" t="n">
        <v>47</v>
      </c>
      <c r="G579" s="0" t="n">
        <v>36</v>
      </c>
      <c r="H579" s="0" t="n">
        <v>9</v>
      </c>
      <c r="I579" s="0" t="n">
        <v>48425.81</v>
      </c>
      <c r="J579" s="0" t="n">
        <v>4495.38</v>
      </c>
    </row>
    <row r="580" customFormat="false" ht="15" hidden="false" customHeight="false" outlineLevel="0" collapsed="false">
      <c r="A580" s="0" t="s">
        <v>90</v>
      </c>
      <c r="B580" s="0" t="s">
        <v>13</v>
      </c>
      <c r="C580" s="0" t="n">
        <v>14562</v>
      </c>
      <c r="D580" s="0" t="n">
        <v>601</v>
      </c>
      <c r="E580" s="0" t="n">
        <v>140</v>
      </c>
      <c r="F580" s="0" t="n">
        <v>71</v>
      </c>
      <c r="G580" s="0" t="n">
        <v>54</v>
      </c>
      <c r="H580" s="0" t="n">
        <v>14</v>
      </c>
      <c r="I580" s="0" t="n">
        <v>83311.59</v>
      </c>
      <c r="J580" s="0" t="n">
        <v>9907.72</v>
      </c>
    </row>
    <row r="581" customFormat="false" ht="15" hidden="false" customHeight="false" outlineLevel="0" collapsed="false">
      <c r="A581" s="0" t="s">
        <v>90</v>
      </c>
      <c r="B581" s="0" t="s">
        <v>14</v>
      </c>
      <c r="C581" s="0" t="n">
        <v>17395</v>
      </c>
      <c r="D581" s="0" t="n">
        <v>398</v>
      </c>
      <c r="E581" s="0" t="n">
        <v>63</v>
      </c>
      <c r="F581" s="0" t="n">
        <v>28</v>
      </c>
      <c r="G581" s="0" t="n">
        <v>20</v>
      </c>
      <c r="H581" s="0" t="n">
        <v>4</v>
      </c>
      <c r="I581" s="0" t="n">
        <v>17696.51</v>
      </c>
      <c r="J581" s="0" t="n">
        <v>3120.19</v>
      </c>
    </row>
    <row r="582" customFormat="false" ht="15" hidden="false" customHeight="false" outlineLevel="0" collapsed="false">
      <c r="A582" s="0" t="s">
        <v>90</v>
      </c>
      <c r="B582" s="0" t="s">
        <v>15</v>
      </c>
      <c r="C582" s="0" t="n">
        <v>5209</v>
      </c>
      <c r="D582" s="0" t="n">
        <v>193</v>
      </c>
      <c r="E582" s="0" t="n">
        <v>37</v>
      </c>
      <c r="F582" s="0" t="n">
        <v>27</v>
      </c>
      <c r="G582" s="0" t="n">
        <v>20</v>
      </c>
      <c r="H582" s="0" t="n">
        <v>7</v>
      </c>
      <c r="I582" s="0" t="n">
        <v>98418.12</v>
      </c>
      <c r="J582" s="0" t="n">
        <v>8692.05</v>
      </c>
    </row>
    <row r="583" customFormat="false" ht="15" hidden="false" customHeight="false" outlineLevel="0" collapsed="false">
      <c r="A583" s="0" t="s">
        <v>90</v>
      </c>
      <c r="B583" s="0" t="s">
        <v>16</v>
      </c>
      <c r="C583" s="0" t="n">
        <v>13857</v>
      </c>
      <c r="D583" s="0" t="n">
        <v>647</v>
      </c>
      <c r="E583" s="0" t="n">
        <v>132</v>
      </c>
      <c r="F583" s="0" t="n">
        <v>75</v>
      </c>
      <c r="G583" s="0" t="n">
        <v>55</v>
      </c>
      <c r="H583" s="0" t="n">
        <v>23</v>
      </c>
      <c r="I583" s="0" t="n">
        <v>149611.22</v>
      </c>
      <c r="J583" s="0" t="n">
        <v>1143.12</v>
      </c>
    </row>
    <row r="584" customFormat="false" ht="15" hidden="false" customHeight="false" outlineLevel="0" collapsed="false">
      <c r="A584" s="0" t="s">
        <v>90</v>
      </c>
      <c r="B584" s="0" t="s">
        <v>17</v>
      </c>
      <c r="C584" s="0" t="n">
        <v>3509</v>
      </c>
      <c r="D584" s="0" t="n">
        <v>543</v>
      </c>
      <c r="E584" s="0" t="n">
        <v>227</v>
      </c>
      <c r="F584" s="0" t="n">
        <v>163</v>
      </c>
      <c r="G584" s="0" t="n">
        <v>135</v>
      </c>
      <c r="H584" s="0" t="n">
        <v>62</v>
      </c>
      <c r="I584" s="0" t="n">
        <v>588139.87</v>
      </c>
      <c r="J584" s="0" t="n">
        <v>1043.54</v>
      </c>
    </row>
    <row r="585" customFormat="false" ht="15" hidden="false" customHeight="false" outlineLevel="0" collapsed="false">
      <c r="A585" s="0" t="s">
        <v>90</v>
      </c>
      <c r="B585" s="0" t="s">
        <v>18</v>
      </c>
      <c r="C585" s="0" t="n">
        <v>10806</v>
      </c>
      <c r="D585" s="0" t="n">
        <v>261</v>
      </c>
      <c r="E585" s="0" t="n">
        <v>41</v>
      </c>
      <c r="F585" s="0" t="n">
        <v>19</v>
      </c>
      <c r="G585" s="0" t="n">
        <v>13</v>
      </c>
      <c r="H585" s="0" t="n">
        <v>2</v>
      </c>
      <c r="I585" s="0" t="n">
        <v>11517.12</v>
      </c>
      <c r="J585" s="0" t="n">
        <v>3557.39</v>
      </c>
    </row>
    <row r="586" customFormat="false" ht="15" hidden="false" customHeight="false" outlineLevel="0" collapsed="false">
      <c r="A586" s="0" t="s">
        <v>91</v>
      </c>
      <c r="B586" s="0" t="s">
        <v>11</v>
      </c>
      <c r="C586" s="0" t="n">
        <v>4314</v>
      </c>
      <c r="D586" s="0" t="n">
        <v>472</v>
      </c>
      <c r="E586" s="0" t="n">
        <v>178</v>
      </c>
      <c r="F586" s="0" t="n">
        <v>101</v>
      </c>
      <c r="G586" s="0" t="n">
        <v>84</v>
      </c>
      <c r="H586" s="0" t="n">
        <v>30</v>
      </c>
      <c r="I586" s="0" t="n">
        <v>177481.72</v>
      </c>
      <c r="J586" s="0" t="n">
        <v>1537.26</v>
      </c>
    </row>
    <row r="587" customFormat="false" ht="15" hidden="false" customHeight="false" outlineLevel="0" collapsed="false">
      <c r="A587" s="0" t="s">
        <v>91</v>
      </c>
      <c r="B587" s="0" t="s">
        <v>12</v>
      </c>
      <c r="C587" s="0" t="n">
        <v>9559</v>
      </c>
      <c r="D587" s="0" t="n">
        <v>179</v>
      </c>
      <c r="E587" s="0" t="n">
        <v>43</v>
      </c>
      <c r="F587" s="0" t="n">
        <v>19</v>
      </c>
      <c r="G587" s="0" t="n">
        <v>14</v>
      </c>
      <c r="H587" s="0" t="n">
        <v>3</v>
      </c>
      <c r="I587" s="0" t="n">
        <v>12064.29</v>
      </c>
      <c r="J587" s="0" t="n">
        <v>1606.49</v>
      </c>
    </row>
    <row r="588" customFormat="false" ht="15" hidden="false" customHeight="false" outlineLevel="0" collapsed="false">
      <c r="A588" s="0" t="s">
        <v>91</v>
      </c>
      <c r="B588" s="0" t="s">
        <v>13</v>
      </c>
      <c r="C588" s="0" t="n">
        <v>10415</v>
      </c>
      <c r="D588" s="0" t="n">
        <v>347</v>
      </c>
      <c r="E588" s="0" t="n">
        <v>83</v>
      </c>
      <c r="F588" s="0" t="n">
        <v>52</v>
      </c>
      <c r="G588" s="0" t="n">
        <v>36</v>
      </c>
      <c r="H588" s="0" t="n">
        <v>12</v>
      </c>
      <c r="I588" s="0" t="n">
        <v>82729.54</v>
      </c>
      <c r="J588" s="0" t="n">
        <v>7214.69</v>
      </c>
    </row>
    <row r="589" customFormat="false" ht="15" hidden="false" customHeight="false" outlineLevel="0" collapsed="false">
      <c r="A589" s="0" t="s">
        <v>91</v>
      </c>
      <c r="B589" s="0" t="s">
        <v>14</v>
      </c>
      <c r="C589" s="0" t="n">
        <v>11038</v>
      </c>
      <c r="D589" s="0" t="n">
        <v>304</v>
      </c>
      <c r="E589" s="0" t="n">
        <v>49</v>
      </c>
      <c r="F589" s="0" t="n">
        <v>21</v>
      </c>
      <c r="G589" s="0" t="n">
        <v>13</v>
      </c>
      <c r="H589" s="0" t="n">
        <v>3</v>
      </c>
      <c r="I589" s="0" t="n">
        <v>16679.49</v>
      </c>
      <c r="J589" s="0" t="n">
        <v>3065.73</v>
      </c>
    </row>
    <row r="590" customFormat="false" ht="15" hidden="false" customHeight="false" outlineLevel="0" collapsed="false">
      <c r="A590" s="0" t="s">
        <v>91</v>
      </c>
      <c r="B590" s="0" t="s">
        <v>15</v>
      </c>
      <c r="C590" s="0" t="n">
        <v>3418</v>
      </c>
      <c r="D590" s="0" t="n">
        <v>103</v>
      </c>
      <c r="E590" s="0" t="n">
        <v>19</v>
      </c>
      <c r="F590" s="0" t="n">
        <v>14</v>
      </c>
      <c r="G590" s="0" t="n">
        <v>10</v>
      </c>
      <c r="H590" s="0" t="n">
        <v>3</v>
      </c>
      <c r="I590" s="0" t="n">
        <v>38930.5</v>
      </c>
      <c r="J590" s="0" t="n">
        <v>4456.08</v>
      </c>
    </row>
    <row r="591" customFormat="false" ht="15" hidden="false" customHeight="false" outlineLevel="0" collapsed="false">
      <c r="A591" s="0" t="s">
        <v>91</v>
      </c>
      <c r="B591" s="0" t="s">
        <v>16</v>
      </c>
      <c r="C591" s="0" t="n">
        <v>7063</v>
      </c>
      <c r="D591" s="0" t="n">
        <v>495</v>
      </c>
      <c r="E591" s="0" t="n">
        <v>119</v>
      </c>
      <c r="F591" s="0" t="n">
        <v>63</v>
      </c>
      <c r="G591" s="0" t="n">
        <v>47</v>
      </c>
      <c r="H591" s="0" t="n">
        <v>21</v>
      </c>
      <c r="I591" s="0" t="n">
        <v>184003.56</v>
      </c>
      <c r="J591" s="0" t="n">
        <v>925.91</v>
      </c>
    </row>
    <row r="592" customFormat="false" ht="15" hidden="false" customHeight="false" outlineLevel="0" collapsed="false">
      <c r="A592" s="0" t="s">
        <v>91</v>
      </c>
      <c r="B592" s="0" t="s">
        <v>17</v>
      </c>
      <c r="C592" s="0" t="n">
        <v>1729</v>
      </c>
      <c r="D592" s="0" t="n">
        <v>182</v>
      </c>
      <c r="E592" s="0" t="n">
        <v>76</v>
      </c>
      <c r="F592" s="0" t="n">
        <v>52</v>
      </c>
      <c r="G592" s="0" t="n">
        <v>41</v>
      </c>
      <c r="H592" s="0" t="n">
        <v>16</v>
      </c>
      <c r="I592" s="0" t="n">
        <v>152506.21</v>
      </c>
      <c r="J592" s="0" t="n">
        <v>515.06</v>
      </c>
    </row>
    <row r="593" customFormat="false" ht="15" hidden="false" customHeight="false" outlineLevel="0" collapsed="false">
      <c r="A593" s="0" t="s">
        <v>91</v>
      </c>
      <c r="B593" s="0" t="s">
        <v>18</v>
      </c>
      <c r="C593" s="0" t="n">
        <v>8666</v>
      </c>
      <c r="D593" s="0" t="n">
        <v>115</v>
      </c>
      <c r="E593" s="0" t="n">
        <v>18</v>
      </c>
      <c r="F593" s="0" t="n">
        <v>6</v>
      </c>
      <c r="G593" s="0" t="n">
        <v>4</v>
      </c>
      <c r="H593" s="0" t="n">
        <v>0</v>
      </c>
      <c r="I593" s="0" t="n">
        <v>0</v>
      </c>
      <c r="J593" s="0" t="n">
        <v>1645.12</v>
      </c>
    </row>
    <row r="594" customFormat="false" ht="15" hidden="false" customHeight="false" outlineLevel="0" collapsed="false">
      <c r="A594" s="0" t="s">
        <v>92</v>
      </c>
      <c r="B594" s="0" t="s">
        <v>11</v>
      </c>
      <c r="C594" s="0" t="n">
        <v>5552</v>
      </c>
      <c r="D594" s="0" t="n">
        <v>578</v>
      </c>
      <c r="E594" s="0" t="n">
        <v>173</v>
      </c>
      <c r="F594" s="0" t="n">
        <v>102</v>
      </c>
      <c r="G594" s="0" t="n">
        <v>78</v>
      </c>
      <c r="H594" s="0" t="n">
        <v>29</v>
      </c>
      <c r="I594" s="0" t="n">
        <v>192996.37</v>
      </c>
      <c r="J594" s="0" t="n">
        <v>1740.93</v>
      </c>
    </row>
    <row r="595" customFormat="false" ht="15" hidden="false" customHeight="false" outlineLevel="0" collapsed="false">
      <c r="A595" s="0" t="s">
        <v>92</v>
      </c>
      <c r="B595" s="0" t="s">
        <v>12</v>
      </c>
      <c r="C595" s="0" t="n">
        <v>9173</v>
      </c>
      <c r="D595" s="0" t="n">
        <v>145</v>
      </c>
      <c r="E595" s="0" t="n">
        <v>24</v>
      </c>
      <c r="F595" s="0" t="n">
        <v>9</v>
      </c>
      <c r="G595" s="0" t="n">
        <v>6</v>
      </c>
      <c r="H595" s="0" t="n">
        <v>1</v>
      </c>
      <c r="I595" s="0" t="n">
        <v>4888.37</v>
      </c>
      <c r="J595" s="0" t="n">
        <v>1506.36</v>
      </c>
    </row>
    <row r="596" customFormat="false" ht="15" hidden="false" customHeight="false" outlineLevel="0" collapsed="false">
      <c r="A596" s="0" t="s">
        <v>92</v>
      </c>
      <c r="B596" s="0" t="s">
        <v>13</v>
      </c>
      <c r="C596" s="0" t="n">
        <v>8605</v>
      </c>
      <c r="D596" s="0" t="n">
        <v>348</v>
      </c>
      <c r="E596" s="0" t="n">
        <v>82</v>
      </c>
      <c r="F596" s="0" t="n">
        <v>48</v>
      </c>
      <c r="G596" s="0" t="n">
        <v>38</v>
      </c>
      <c r="H596" s="0" t="n">
        <v>9</v>
      </c>
      <c r="I596" s="0" t="n">
        <v>71846.92</v>
      </c>
      <c r="J596" s="0" t="n">
        <v>4995.85</v>
      </c>
    </row>
    <row r="597" customFormat="false" ht="15" hidden="false" customHeight="false" outlineLevel="0" collapsed="false">
      <c r="A597" s="0" t="s">
        <v>92</v>
      </c>
      <c r="B597" s="0" t="s">
        <v>14</v>
      </c>
      <c r="C597" s="0" t="n">
        <v>12266</v>
      </c>
      <c r="D597" s="0" t="n">
        <v>247</v>
      </c>
      <c r="E597" s="0" t="n">
        <v>51</v>
      </c>
      <c r="F597" s="0" t="n">
        <v>25</v>
      </c>
      <c r="G597" s="0" t="n">
        <v>15</v>
      </c>
      <c r="H597" s="0" t="n">
        <v>3</v>
      </c>
      <c r="I597" s="0" t="n">
        <v>17333.04</v>
      </c>
      <c r="J597" s="0" t="n">
        <v>2525.61</v>
      </c>
    </row>
    <row r="598" customFormat="false" ht="15" hidden="false" customHeight="false" outlineLevel="0" collapsed="false">
      <c r="A598" s="0" t="s">
        <v>92</v>
      </c>
      <c r="B598" s="0" t="s">
        <v>15</v>
      </c>
      <c r="C598" s="0" t="n">
        <v>3342</v>
      </c>
      <c r="D598" s="0" t="n">
        <v>132</v>
      </c>
      <c r="E598" s="0" t="n">
        <v>33</v>
      </c>
      <c r="F598" s="0" t="n">
        <v>21</v>
      </c>
      <c r="G598" s="0" t="n">
        <v>16</v>
      </c>
      <c r="H598" s="0" t="n">
        <v>6</v>
      </c>
      <c r="I598" s="0" t="n">
        <v>62921.01</v>
      </c>
      <c r="J598" s="0" t="n">
        <v>6223.88</v>
      </c>
    </row>
    <row r="599" customFormat="false" ht="15" hidden="false" customHeight="false" outlineLevel="0" collapsed="false">
      <c r="A599" s="0" t="s">
        <v>92</v>
      </c>
      <c r="B599" s="0" t="s">
        <v>16</v>
      </c>
      <c r="C599" s="0" t="n">
        <v>5104</v>
      </c>
      <c r="D599" s="0" t="n">
        <v>267</v>
      </c>
      <c r="E599" s="0" t="n">
        <v>58</v>
      </c>
      <c r="F599" s="0" t="n">
        <v>30</v>
      </c>
      <c r="G599" s="0" t="n">
        <v>20</v>
      </c>
      <c r="H599" s="0" t="n">
        <v>7</v>
      </c>
      <c r="I599" s="0" t="n">
        <v>48118.58</v>
      </c>
      <c r="J599" s="0" t="n">
        <v>563.66</v>
      </c>
    </row>
    <row r="600" customFormat="false" ht="15" hidden="false" customHeight="false" outlineLevel="0" collapsed="false">
      <c r="A600" s="0" t="s">
        <v>92</v>
      </c>
      <c r="B600" s="0" t="s">
        <v>17</v>
      </c>
      <c r="C600" s="0" t="n">
        <v>1914</v>
      </c>
      <c r="D600" s="0" t="n">
        <v>263</v>
      </c>
      <c r="E600" s="0" t="n">
        <v>128</v>
      </c>
      <c r="F600" s="0" t="n">
        <v>94</v>
      </c>
      <c r="G600" s="0" t="n">
        <v>77</v>
      </c>
      <c r="H600" s="0" t="n">
        <v>33</v>
      </c>
      <c r="I600" s="0" t="n">
        <v>325386.89</v>
      </c>
      <c r="J600" s="0" t="n">
        <v>319.18</v>
      </c>
    </row>
    <row r="601" customFormat="false" ht="15" hidden="false" customHeight="false" outlineLevel="0" collapsed="false">
      <c r="A601" s="0" t="s">
        <v>92</v>
      </c>
      <c r="B601" s="0" t="s">
        <v>18</v>
      </c>
      <c r="C601" s="0" t="n">
        <v>4608</v>
      </c>
      <c r="D601" s="0" t="n">
        <v>73</v>
      </c>
      <c r="E601" s="0" t="n">
        <v>12</v>
      </c>
      <c r="F601" s="0" t="n">
        <v>4</v>
      </c>
      <c r="G601" s="0" t="n">
        <v>2</v>
      </c>
      <c r="H601" s="0" t="n">
        <v>0</v>
      </c>
      <c r="I601" s="0" t="n">
        <v>0</v>
      </c>
      <c r="J601" s="0" t="n">
        <v>819.42</v>
      </c>
    </row>
    <row r="602" customFormat="false" ht="15" hidden="false" customHeight="false" outlineLevel="0" collapsed="false">
      <c r="A602" s="0" t="s">
        <v>93</v>
      </c>
      <c r="B602" s="0" t="s">
        <v>11</v>
      </c>
      <c r="C602" s="0" t="n">
        <v>6227</v>
      </c>
      <c r="D602" s="0" t="n">
        <v>566</v>
      </c>
      <c r="E602" s="0" t="n">
        <v>200</v>
      </c>
      <c r="F602" s="0" t="n">
        <v>111</v>
      </c>
      <c r="G602" s="0" t="n">
        <v>87</v>
      </c>
      <c r="H602" s="0" t="n">
        <v>29</v>
      </c>
      <c r="I602" s="0" t="n">
        <v>160891.31</v>
      </c>
      <c r="J602" s="0" t="n">
        <v>1199.6</v>
      </c>
    </row>
    <row r="603" customFormat="false" ht="15" hidden="false" customHeight="false" outlineLevel="0" collapsed="false">
      <c r="A603" s="0" t="s">
        <v>93</v>
      </c>
      <c r="B603" s="0" t="s">
        <v>12</v>
      </c>
      <c r="C603" s="0" t="n">
        <v>10963</v>
      </c>
      <c r="D603" s="0" t="n">
        <v>305</v>
      </c>
      <c r="E603" s="0" t="n">
        <v>50</v>
      </c>
      <c r="F603" s="0" t="n">
        <v>26</v>
      </c>
      <c r="G603" s="0" t="n">
        <v>16</v>
      </c>
      <c r="H603" s="0" t="n">
        <v>4</v>
      </c>
      <c r="I603" s="0" t="n">
        <v>23478.36</v>
      </c>
      <c r="J603" s="0" t="n">
        <v>4082.76</v>
      </c>
    </row>
    <row r="604" customFormat="false" ht="15" hidden="false" customHeight="false" outlineLevel="0" collapsed="false">
      <c r="A604" s="0" t="s">
        <v>93</v>
      </c>
      <c r="B604" s="0" t="s">
        <v>13</v>
      </c>
      <c r="C604" s="0" t="n">
        <v>6238</v>
      </c>
      <c r="D604" s="0" t="n">
        <v>200</v>
      </c>
      <c r="E604" s="0" t="n">
        <v>58</v>
      </c>
      <c r="F604" s="0" t="n">
        <v>30</v>
      </c>
      <c r="G604" s="0" t="n">
        <v>24</v>
      </c>
      <c r="H604" s="0" t="n">
        <v>7</v>
      </c>
      <c r="I604" s="0" t="n">
        <v>55064.41</v>
      </c>
      <c r="J604" s="0" t="n">
        <v>2955.71</v>
      </c>
    </row>
    <row r="605" customFormat="false" ht="15" hidden="false" customHeight="false" outlineLevel="0" collapsed="false">
      <c r="A605" s="0" t="s">
        <v>93</v>
      </c>
      <c r="B605" s="0" t="s">
        <v>14</v>
      </c>
      <c r="C605" s="0" t="n">
        <v>17001</v>
      </c>
      <c r="D605" s="0" t="n">
        <v>426</v>
      </c>
      <c r="E605" s="0" t="n">
        <v>89</v>
      </c>
      <c r="F605" s="0" t="n">
        <v>36</v>
      </c>
      <c r="G605" s="0" t="n">
        <v>23</v>
      </c>
      <c r="H605" s="0" t="n">
        <v>4</v>
      </c>
      <c r="I605" s="0" t="n">
        <v>18346.57</v>
      </c>
      <c r="J605" s="0" t="n">
        <v>4106.37</v>
      </c>
    </row>
    <row r="606" customFormat="false" ht="15" hidden="false" customHeight="false" outlineLevel="0" collapsed="false">
      <c r="A606" s="0" t="s">
        <v>93</v>
      </c>
      <c r="B606" s="0" t="s">
        <v>15</v>
      </c>
      <c r="C606" s="0" t="n">
        <v>4178</v>
      </c>
      <c r="D606" s="0" t="n">
        <v>96</v>
      </c>
      <c r="E606" s="0" t="n">
        <v>23</v>
      </c>
      <c r="F606" s="0" t="n">
        <v>14</v>
      </c>
      <c r="G606" s="0" t="n">
        <v>10</v>
      </c>
      <c r="H606" s="0" t="n">
        <v>3</v>
      </c>
      <c r="I606" s="0" t="n">
        <v>41092.04</v>
      </c>
      <c r="J606" s="0" t="n">
        <v>4409.17</v>
      </c>
    </row>
    <row r="607" customFormat="false" ht="15" hidden="false" customHeight="false" outlineLevel="0" collapsed="false">
      <c r="A607" s="0" t="s">
        <v>93</v>
      </c>
      <c r="B607" s="0" t="s">
        <v>16</v>
      </c>
      <c r="C607" s="0" t="n">
        <v>14600</v>
      </c>
      <c r="D607" s="0" t="n">
        <v>1140</v>
      </c>
      <c r="E607" s="0" t="n">
        <v>260</v>
      </c>
      <c r="F607" s="0" t="n">
        <v>131</v>
      </c>
      <c r="G607" s="0" t="n">
        <v>91</v>
      </c>
      <c r="H607" s="0" t="n">
        <v>35</v>
      </c>
      <c r="I607" s="0" t="n">
        <v>224825.9</v>
      </c>
      <c r="J607" s="0" t="n">
        <v>3300.94</v>
      </c>
    </row>
    <row r="608" customFormat="false" ht="15" hidden="false" customHeight="false" outlineLevel="0" collapsed="false">
      <c r="A608" s="0" t="s">
        <v>93</v>
      </c>
      <c r="B608" s="0" t="s">
        <v>17</v>
      </c>
      <c r="C608" s="0" t="n">
        <v>3290</v>
      </c>
      <c r="D608" s="0" t="n">
        <v>364</v>
      </c>
      <c r="E608" s="0" t="n">
        <v>181</v>
      </c>
      <c r="F608" s="0" t="n">
        <v>124</v>
      </c>
      <c r="G608" s="0" t="n">
        <v>106</v>
      </c>
      <c r="H608" s="0" t="n">
        <v>46</v>
      </c>
      <c r="I608" s="0" t="n">
        <v>348498.22</v>
      </c>
      <c r="J608" s="0" t="n">
        <v>820.94</v>
      </c>
    </row>
    <row r="609" customFormat="false" ht="15" hidden="false" customHeight="false" outlineLevel="0" collapsed="false">
      <c r="A609" s="0" t="s">
        <v>93</v>
      </c>
      <c r="B609" s="0" t="s">
        <v>18</v>
      </c>
      <c r="C609" s="0" t="n">
        <v>6022</v>
      </c>
      <c r="D609" s="0" t="n">
        <v>173</v>
      </c>
      <c r="E609" s="0" t="n">
        <v>37</v>
      </c>
      <c r="F609" s="0" t="n">
        <v>17</v>
      </c>
      <c r="G609" s="0" t="n">
        <v>11</v>
      </c>
      <c r="H609" s="0" t="n">
        <v>2</v>
      </c>
      <c r="I609" s="0" t="n">
        <v>9339.16</v>
      </c>
      <c r="J609" s="0" t="n">
        <v>1849.43</v>
      </c>
    </row>
    <row r="610" customFormat="false" ht="15" hidden="false" customHeight="false" outlineLevel="0" collapsed="false">
      <c r="A610" s="0" t="s">
        <v>94</v>
      </c>
      <c r="B610" s="0" t="s">
        <v>11</v>
      </c>
      <c r="C610" s="0" t="n">
        <v>3735</v>
      </c>
      <c r="D610" s="0" t="n">
        <v>376</v>
      </c>
      <c r="E610" s="0" t="n">
        <v>116</v>
      </c>
      <c r="F610" s="0" t="n">
        <v>74</v>
      </c>
      <c r="G610" s="0" t="n">
        <v>55</v>
      </c>
      <c r="H610" s="0" t="n">
        <v>19</v>
      </c>
      <c r="I610" s="0" t="n">
        <v>106691.81</v>
      </c>
      <c r="J610" s="0" t="n">
        <v>891.02</v>
      </c>
    </row>
    <row r="611" customFormat="false" ht="15" hidden="false" customHeight="false" outlineLevel="0" collapsed="false">
      <c r="A611" s="0" t="s">
        <v>94</v>
      </c>
      <c r="B611" s="0" t="s">
        <v>12</v>
      </c>
      <c r="C611" s="0" t="n">
        <v>10360</v>
      </c>
      <c r="D611" s="0" t="n">
        <v>192</v>
      </c>
      <c r="E611" s="0" t="n">
        <v>34</v>
      </c>
      <c r="F611" s="0" t="n">
        <v>16</v>
      </c>
      <c r="G611" s="0" t="n">
        <v>11</v>
      </c>
      <c r="H611" s="0" t="n">
        <v>2</v>
      </c>
      <c r="I611" s="0" t="n">
        <v>11295.99</v>
      </c>
      <c r="J611" s="0" t="n">
        <v>2023.2</v>
      </c>
    </row>
    <row r="612" customFormat="false" ht="15" hidden="false" customHeight="false" outlineLevel="0" collapsed="false">
      <c r="A612" s="0" t="s">
        <v>94</v>
      </c>
      <c r="B612" s="0" t="s">
        <v>13</v>
      </c>
      <c r="C612" s="0" t="n">
        <v>8137</v>
      </c>
      <c r="D612" s="0" t="n">
        <v>399</v>
      </c>
      <c r="E612" s="0" t="n">
        <v>94</v>
      </c>
      <c r="F612" s="0" t="n">
        <v>49</v>
      </c>
      <c r="G612" s="0" t="n">
        <v>38</v>
      </c>
      <c r="H612" s="0" t="n">
        <v>12</v>
      </c>
      <c r="I612" s="0" t="n">
        <v>64761.67</v>
      </c>
      <c r="J612" s="0" t="n">
        <v>7110.67</v>
      </c>
    </row>
    <row r="613" customFormat="false" ht="15" hidden="false" customHeight="false" outlineLevel="0" collapsed="false">
      <c r="A613" s="0" t="s">
        <v>94</v>
      </c>
      <c r="B613" s="0" t="s">
        <v>14</v>
      </c>
      <c r="C613" s="0" t="n">
        <v>9244</v>
      </c>
      <c r="D613" s="0" t="n">
        <v>180</v>
      </c>
      <c r="E613" s="0" t="n">
        <v>36</v>
      </c>
      <c r="F613" s="0" t="n">
        <v>14</v>
      </c>
      <c r="G613" s="0" t="n">
        <v>8</v>
      </c>
      <c r="H613" s="0" t="n">
        <v>2</v>
      </c>
      <c r="I613" s="0" t="n">
        <v>10335.48</v>
      </c>
      <c r="J613" s="0" t="n">
        <v>1692.09</v>
      </c>
    </row>
    <row r="614" customFormat="false" ht="15" hidden="false" customHeight="false" outlineLevel="0" collapsed="false">
      <c r="A614" s="0" t="s">
        <v>94</v>
      </c>
      <c r="B614" s="0" t="s">
        <v>15</v>
      </c>
      <c r="C614" s="0" t="n">
        <v>2101</v>
      </c>
      <c r="D614" s="0" t="n">
        <v>71</v>
      </c>
      <c r="E614" s="0" t="n">
        <v>15</v>
      </c>
      <c r="F614" s="0" t="n">
        <v>9</v>
      </c>
      <c r="G614" s="0" t="n">
        <v>7</v>
      </c>
      <c r="H614" s="0" t="n">
        <v>2</v>
      </c>
      <c r="I614" s="0" t="n">
        <v>20805.81</v>
      </c>
      <c r="J614" s="0" t="n">
        <v>2679.27</v>
      </c>
    </row>
    <row r="615" customFormat="false" ht="15" hidden="false" customHeight="false" outlineLevel="0" collapsed="false">
      <c r="A615" s="0" t="s">
        <v>94</v>
      </c>
      <c r="B615" s="0" t="s">
        <v>16</v>
      </c>
      <c r="C615" s="0" t="n">
        <v>14334</v>
      </c>
      <c r="D615" s="0" t="n">
        <v>666</v>
      </c>
      <c r="E615" s="0" t="n">
        <v>184</v>
      </c>
      <c r="F615" s="0" t="n">
        <v>95</v>
      </c>
      <c r="G615" s="0" t="n">
        <v>73</v>
      </c>
      <c r="H615" s="0" t="n">
        <v>29</v>
      </c>
      <c r="I615" s="0" t="n">
        <v>222197.41</v>
      </c>
      <c r="J615" s="0" t="n">
        <v>1844.13</v>
      </c>
    </row>
    <row r="616" customFormat="false" ht="15" hidden="false" customHeight="false" outlineLevel="0" collapsed="false">
      <c r="A616" s="0" t="s">
        <v>94</v>
      </c>
      <c r="B616" s="0" t="s">
        <v>17</v>
      </c>
      <c r="C616" s="0" t="n">
        <v>2603</v>
      </c>
      <c r="D616" s="0" t="n">
        <v>311</v>
      </c>
      <c r="E616" s="0" t="n">
        <v>129</v>
      </c>
      <c r="F616" s="0" t="n">
        <v>95</v>
      </c>
      <c r="G616" s="0" t="n">
        <v>77</v>
      </c>
      <c r="H616" s="0" t="n">
        <v>33</v>
      </c>
      <c r="I616" s="0" t="n">
        <v>264543.52</v>
      </c>
      <c r="J616" s="0" t="n">
        <v>783.61</v>
      </c>
    </row>
    <row r="617" customFormat="false" ht="15" hidden="false" customHeight="false" outlineLevel="0" collapsed="false">
      <c r="A617" s="0" t="s">
        <v>94</v>
      </c>
      <c r="B617" s="0" t="s">
        <v>18</v>
      </c>
      <c r="C617" s="0" t="n">
        <v>11664</v>
      </c>
      <c r="D617" s="0" t="n">
        <v>288</v>
      </c>
      <c r="E617" s="0" t="n">
        <v>55</v>
      </c>
      <c r="F617" s="0" t="n">
        <v>26</v>
      </c>
      <c r="G617" s="0" t="n">
        <v>15</v>
      </c>
      <c r="H617" s="0" t="n">
        <v>2</v>
      </c>
      <c r="I617" s="0" t="n">
        <v>8907.91</v>
      </c>
      <c r="J617" s="0" t="n">
        <v>4219.3</v>
      </c>
    </row>
    <row r="618" customFormat="false" ht="15" hidden="false" customHeight="false" outlineLevel="0" collapsed="false">
      <c r="A618" s="0" t="s">
        <v>95</v>
      </c>
      <c r="B618" s="0" t="s">
        <v>11</v>
      </c>
      <c r="C618" s="0" t="n">
        <v>5728</v>
      </c>
      <c r="D618" s="0" t="n">
        <v>540</v>
      </c>
      <c r="E618" s="0" t="n">
        <v>177</v>
      </c>
      <c r="F618" s="0" t="n">
        <v>110</v>
      </c>
      <c r="G618" s="0" t="n">
        <v>87</v>
      </c>
      <c r="H618" s="0" t="n">
        <v>27</v>
      </c>
      <c r="I618" s="0" t="n">
        <v>173616.75</v>
      </c>
      <c r="J618" s="0" t="n">
        <v>2646.98</v>
      </c>
    </row>
    <row r="619" customFormat="false" ht="15" hidden="false" customHeight="false" outlineLevel="0" collapsed="false">
      <c r="A619" s="0" t="s">
        <v>95</v>
      </c>
      <c r="B619" s="0" t="s">
        <v>12</v>
      </c>
      <c r="C619" s="0" t="n">
        <v>18914</v>
      </c>
      <c r="D619" s="0" t="n">
        <v>445</v>
      </c>
      <c r="E619" s="0" t="n">
        <v>100</v>
      </c>
      <c r="F619" s="0" t="n">
        <v>52</v>
      </c>
      <c r="G619" s="0" t="n">
        <v>36</v>
      </c>
      <c r="H619" s="0" t="n">
        <v>8</v>
      </c>
      <c r="I619" s="0" t="n">
        <v>37812.09</v>
      </c>
      <c r="J619" s="0" t="n">
        <v>6202.99</v>
      </c>
    </row>
    <row r="620" customFormat="false" ht="15" hidden="false" customHeight="false" outlineLevel="0" collapsed="false">
      <c r="A620" s="0" t="s">
        <v>95</v>
      </c>
      <c r="B620" s="0" t="s">
        <v>13</v>
      </c>
      <c r="C620" s="0" t="n">
        <v>12439</v>
      </c>
      <c r="D620" s="0" t="n">
        <v>716</v>
      </c>
      <c r="E620" s="0" t="n">
        <v>173</v>
      </c>
      <c r="F620" s="0" t="n">
        <v>95</v>
      </c>
      <c r="G620" s="0" t="n">
        <v>80</v>
      </c>
      <c r="H620" s="0" t="n">
        <v>23</v>
      </c>
      <c r="I620" s="0" t="n">
        <v>139263.84</v>
      </c>
      <c r="J620" s="0" t="n">
        <v>13525.59</v>
      </c>
    </row>
    <row r="621" customFormat="false" ht="15" hidden="false" customHeight="false" outlineLevel="0" collapsed="false">
      <c r="A621" s="0" t="s">
        <v>95</v>
      </c>
      <c r="B621" s="0" t="s">
        <v>14</v>
      </c>
      <c r="C621" s="0" t="n">
        <v>15733</v>
      </c>
      <c r="D621" s="0" t="n">
        <v>425</v>
      </c>
      <c r="E621" s="0" t="n">
        <v>79</v>
      </c>
      <c r="F621" s="0" t="n">
        <v>38</v>
      </c>
      <c r="G621" s="0" t="n">
        <v>28</v>
      </c>
      <c r="H621" s="0" t="n">
        <v>7</v>
      </c>
      <c r="I621" s="0" t="n">
        <v>27317.69</v>
      </c>
      <c r="J621" s="0" t="n">
        <v>4150.28</v>
      </c>
    </row>
    <row r="622" customFormat="false" ht="15" hidden="false" customHeight="false" outlineLevel="0" collapsed="false">
      <c r="A622" s="0" t="s">
        <v>95</v>
      </c>
      <c r="B622" s="0" t="s">
        <v>15</v>
      </c>
      <c r="C622" s="0" t="n">
        <v>3607</v>
      </c>
      <c r="D622" s="0" t="n">
        <v>120</v>
      </c>
      <c r="E622" s="0" t="n">
        <v>27</v>
      </c>
      <c r="F622" s="0" t="n">
        <v>19</v>
      </c>
      <c r="G622" s="0" t="n">
        <v>14</v>
      </c>
      <c r="H622" s="0" t="n">
        <v>5</v>
      </c>
      <c r="I622" s="0" t="n">
        <v>68734.24</v>
      </c>
      <c r="J622" s="0" t="n">
        <v>4047.41</v>
      </c>
    </row>
    <row r="623" customFormat="false" ht="15" hidden="false" customHeight="false" outlineLevel="0" collapsed="false">
      <c r="A623" s="0" t="s">
        <v>95</v>
      </c>
      <c r="B623" s="0" t="s">
        <v>16</v>
      </c>
      <c r="C623" s="0" t="n">
        <v>14614</v>
      </c>
      <c r="D623" s="0" t="n">
        <v>834</v>
      </c>
      <c r="E623" s="0" t="n">
        <v>198</v>
      </c>
      <c r="F623" s="0" t="n">
        <v>116</v>
      </c>
      <c r="G623" s="0" t="n">
        <v>86</v>
      </c>
      <c r="H623" s="0" t="n">
        <v>36</v>
      </c>
      <c r="I623" s="0" t="n">
        <v>264246.46</v>
      </c>
      <c r="J623" s="0" t="n">
        <v>1254.62</v>
      </c>
    </row>
    <row r="624" customFormat="false" ht="15" hidden="false" customHeight="false" outlineLevel="0" collapsed="false">
      <c r="A624" s="0" t="s">
        <v>95</v>
      </c>
      <c r="B624" s="0" t="s">
        <v>17</v>
      </c>
      <c r="C624" s="0" t="n">
        <v>1370</v>
      </c>
      <c r="D624" s="0" t="n">
        <v>165</v>
      </c>
      <c r="E624" s="0" t="n">
        <v>66</v>
      </c>
      <c r="F624" s="0" t="n">
        <v>43</v>
      </c>
      <c r="G624" s="0" t="n">
        <v>37</v>
      </c>
      <c r="H624" s="0" t="n">
        <v>15</v>
      </c>
      <c r="I624" s="0" t="n">
        <v>142759.49</v>
      </c>
      <c r="J624" s="0" t="n">
        <v>383.89</v>
      </c>
    </row>
    <row r="625" customFormat="false" ht="15" hidden="false" customHeight="false" outlineLevel="0" collapsed="false">
      <c r="A625" s="0" t="s">
        <v>95</v>
      </c>
      <c r="B625" s="0" t="s">
        <v>18</v>
      </c>
      <c r="C625" s="0" t="n">
        <v>8854</v>
      </c>
      <c r="D625" s="0" t="n">
        <v>115</v>
      </c>
      <c r="E625" s="0" t="n">
        <v>23</v>
      </c>
      <c r="F625" s="0" t="n">
        <v>10</v>
      </c>
      <c r="G625" s="0" t="n">
        <v>7</v>
      </c>
      <c r="H625" s="0" t="n">
        <v>1</v>
      </c>
      <c r="I625" s="0" t="n">
        <v>5147.13</v>
      </c>
      <c r="J625" s="0" t="n">
        <v>2271.72</v>
      </c>
    </row>
    <row r="626" customFormat="false" ht="15" hidden="false" customHeight="false" outlineLevel="0" collapsed="false">
      <c r="A626" s="0" t="s">
        <v>96</v>
      </c>
      <c r="B626" s="0" t="s">
        <v>11</v>
      </c>
      <c r="C626" s="0" t="n">
        <v>7650</v>
      </c>
      <c r="D626" s="0" t="n">
        <v>894</v>
      </c>
      <c r="E626" s="0" t="n">
        <v>291</v>
      </c>
      <c r="F626" s="0" t="n">
        <v>161</v>
      </c>
      <c r="G626" s="0" t="n">
        <v>132</v>
      </c>
      <c r="H626" s="0" t="n">
        <v>41</v>
      </c>
      <c r="I626" s="0" t="n">
        <v>248662.61</v>
      </c>
      <c r="J626" s="0" t="n">
        <v>2600.04</v>
      </c>
    </row>
    <row r="627" customFormat="false" ht="15" hidden="false" customHeight="false" outlineLevel="0" collapsed="false">
      <c r="A627" s="0" t="s">
        <v>96</v>
      </c>
      <c r="B627" s="0" t="s">
        <v>12</v>
      </c>
      <c r="C627" s="0" t="n">
        <v>12723</v>
      </c>
      <c r="D627" s="0" t="n">
        <v>281</v>
      </c>
      <c r="E627" s="0" t="n">
        <v>66</v>
      </c>
      <c r="F627" s="0" t="n">
        <v>29</v>
      </c>
      <c r="G627" s="0" t="n">
        <v>22</v>
      </c>
      <c r="H627" s="0" t="n">
        <v>4</v>
      </c>
      <c r="I627" s="0" t="n">
        <v>22780.38</v>
      </c>
      <c r="J627" s="0" t="n">
        <v>3775.96</v>
      </c>
    </row>
    <row r="628" customFormat="false" ht="15" hidden="false" customHeight="false" outlineLevel="0" collapsed="false">
      <c r="A628" s="0" t="s">
        <v>96</v>
      </c>
      <c r="B628" s="0" t="s">
        <v>13</v>
      </c>
      <c r="C628" s="0" t="n">
        <v>8416</v>
      </c>
      <c r="D628" s="0" t="n">
        <v>416</v>
      </c>
      <c r="E628" s="0" t="n">
        <v>86</v>
      </c>
      <c r="F628" s="0" t="n">
        <v>54</v>
      </c>
      <c r="G628" s="0" t="n">
        <v>38</v>
      </c>
      <c r="H628" s="0" t="n">
        <v>10</v>
      </c>
      <c r="I628" s="0" t="n">
        <v>67919.37</v>
      </c>
      <c r="J628" s="0" t="n">
        <v>9217.5</v>
      </c>
    </row>
    <row r="629" customFormat="false" ht="15" hidden="false" customHeight="false" outlineLevel="0" collapsed="false">
      <c r="A629" s="0" t="s">
        <v>96</v>
      </c>
      <c r="B629" s="0" t="s">
        <v>14</v>
      </c>
      <c r="C629" s="0" t="n">
        <v>8999</v>
      </c>
      <c r="D629" s="0" t="n">
        <v>169</v>
      </c>
      <c r="E629" s="0" t="n">
        <v>24</v>
      </c>
      <c r="F629" s="0" t="n">
        <v>11</v>
      </c>
      <c r="G629" s="0" t="n">
        <v>7</v>
      </c>
      <c r="H629" s="0" t="n">
        <v>1</v>
      </c>
      <c r="I629" s="0" t="n">
        <v>4223.49</v>
      </c>
      <c r="J629" s="0" t="n">
        <v>1415.44</v>
      </c>
    </row>
    <row r="630" customFormat="false" ht="15" hidden="false" customHeight="false" outlineLevel="0" collapsed="false">
      <c r="A630" s="0" t="s">
        <v>96</v>
      </c>
      <c r="B630" s="0" t="s">
        <v>15</v>
      </c>
      <c r="C630" s="0" t="n">
        <v>2165</v>
      </c>
      <c r="D630" s="0" t="n">
        <v>57</v>
      </c>
      <c r="E630" s="0" t="n">
        <v>13</v>
      </c>
      <c r="F630" s="0" t="n">
        <v>9</v>
      </c>
      <c r="G630" s="0" t="n">
        <v>7</v>
      </c>
      <c r="H630" s="0" t="n">
        <v>2</v>
      </c>
      <c r="I630" s="0" t="n">
        <v>27192.45</v>
      </c>
      <c r="J630" s="0" t="n">
        <v>2796.56</v>
      </c>
    </row>
    <row r="631" customFormat="false" ht="15" hidden="false" customHeight="false" outlineLevel="0" collapsed="false">
      <c r="A631" s="0" t="s">
        <v>96</v>
      </c>
      <c r="B631" s="0" t="s">
        <v>16</v>
      </c>
      <c r="C631" s="0" t="n">
        <v>11079</v>
      </c>
      <c r="D631" s="0" t="n">
        <v>709</v>
      </c>
      <c r="E631" s="0" t="n">
        <v>151</v>
      </c>
      <c r="F631" s="0" t="n">
        <v>81</v>
      </c>
      <c r="G631" s="0" t="n">
        <v>61</v>
      </c>
      <c r="H631" s="0" t="n">
        <v>27</v>
      </c>
      <c r="I631" s="0" t="n">
        <v>236730.9</v>
      </c>
      <c r="J631" s="0" t="n">
        <v>1740.78</v>
      </c>
    </row>
    <row r="632" customFormat="false" ht="15" hidden="false" customHeight="false" outlineLevel="0" collapsed="false">
      <c r="A632" s="0" t="s">
        <v>96</v>
      </c>
      <c r="B632" s="0" t="s">
        <v>17</v>
      </c>
      <c r="C632" s="0" t="n">
        <v>3286</v>
      </c>
      <c r="D632" s="0" t="n">
        <v>523</v>
      </c>
      <c r="E632" s="0" t="n">
        <v>219</v>
      </c>
      <c r="F632" s="0" t="n">
        <v>156</v>
      </c>
      <c r="G632" s="0" t="n">
        <v>131</v>
      </c>
      <c r="H632" s="0" t="n">
        <v>60</v>
      </c>
      <c r="I632" s="0" t="n">
        <v>515158.19</v>
      </c>
      <c r="J632" s="0" t="n">
        <v>1035.32</v>
      </c>
    </row>
    <row r="633" customFormat="false" ht="15" hidden="false" customHeight="false" outlineLevel="0" collapsed="false">
      <c r="A633" s="0" t="s">
        <v>96</v>
      </c>
      <c r="B633" s="0" t="s">
        <v>18</v>
      </c>
      <c r="C633" s="0" t="n">
        <v>7341</v>
      </c>
      <c r="D633" s="0" t="n">
        <v>149</v>
      </c>
      <c r="E633" s="0" t="n">
        <v>24</v>
      </c>
      <c r="F633" s="0" t="n">
        <v>11</v>
      </c>
      <c r="G633" s="0" t="n">
        <v>6</v>
      </c>
      <c r="H633" s="0" t="n">
        <v>0</v>
      </c>
      <c r="I633" s="0" t="n">
        <v>0</v>
      </c>
      <c r="J633" s="0" t="n">
        <v>2140.01</v>
      </c>
    </row>
    <row r="634" customFormat="false" ht="15" hidden="false" customHeight="false" outlineLevel="0" collapsed="false">
      <c r="A634" s="0" t="s">
        <v>97</v>
      </c>
      <c r="B634" s="0" t="s">
        <v>11</v>
      </c>
      <c r="C634" s="0" t="n">
        <v>5884</v>
      </c>
      <c r="D634" s="0" t="n">
        <v>519</v>
      </c>
      <c r="E634" s="0" t="n">
        <v>157</v>
      </c>
      <c r="F634" s="0" t="n">
        <v>87</v>
      </c>
      <c r="G634" s="0" t="n">
        <v>72</v>
      </c>
      <c r="H634" s="0" t="n">
        <v>22</v>
      </c>
      <c r="I634" s="0" t="n">
        <v>129267.6</v>
      </c>
      <c r="J634" s="0" t="n">
        <v>1108.3</v>
      </c>
    </row>
    <row r="635" customFormat="false" ht="15" hidden="false" customHeight="false" outlineLevel="0" collapsed="false">
      <c r="A635" s="0" t="s">
        <v>97</v>
      </c>
      <c r="B635" s="0" t="s">
        <v>12</v>
      </c>
      <c r="C635" s="0" t="n">
        <v>16845</v>
      </c>
      <c r="D635" s="0" t="n">
        <v>261</v>
      </c>
      <c r="E635" s="0" t="n">
        <v>51</v>
      </c>
      <c r="F635" s="0" t="n">
        <v>22</v>
      </c>
      <c r="G635" s="0" t="n">
        <v>17</v>
      </c>
      <c r="H635" s="0" t="n">
        <v>3</v>
      </c>
      <c r="I635" s="0" t="n">
        <v>16443.98</v>
      </c>
      <c r="J635" s="0" t="n">
        <v>3097.99</v>
      </c>
    </row>
    <row r="636" customFormat="false" ht="15" hidden="false" customHeight="false" outlineLevel="0" collapsed="false">
      <c r="A636" s="0" t="s">
        <v>97</v>
      </c>
      <c r="B636" s="0" t="s">
        <v>13</v>
      </c>
      <c r="C636" s="0" t="n">
        <v>9377</v>
      </c>
      <c r="D636" s="0" t="n">
        <v>359</v>
      </c>
      <c r="E636" s="0" t="n">
        <v>91</v>
      </c>
      <c r="F636" s="0" t="n">
        <v>50</v>
      </c>
      <c r="G636" s="0" t="n">
        <v>41</v>
      </c>
      <c r="H636" s="0" t="n">
        <v>14</v>
      </c>
      <c r="I636" s="0" t="n">
        <v>83771.13</v>
      </c>
      <c r="J636" s="0" t="n">
        <v>6829.51</v>
      </c>
    </row>
    <row r="637" customFormat="false" ht="15" hidden="false" customHeight="false" outlineLevel="0" collapsed="false">
      <c r="A637" s="0" t="s">
        <v>97</v>
      </c>
      <c r="B637" s="0" t="s">
        <v>14</v>
      </c>
      <c r="C637" s="0" t="n">
        <v>12335</v>
      </c>
      <c r="D637" s="0" t="n">
        <v>164</v>
      </c>
      <c r="E637" s="0" t="n">
        <v>35</v>
      </c>
      <c r="F637" s="0" t="n">
        <v>15</v>
      </c>
      <c r="G637" s="0" t="n">
        <v>10</v>
      </c>
      <c r="H637" s="0" t="n">
        <v>2</v>
      </c>
      <c r="I637" s="0" t="n">
        <v>9316.6</v>
      </c>
      <c r="J637" s="0" t="n">
        <v>1703.06</v>
      </c>
    </row>
    <row r="638" customFormat="false" ht="15" hidden="false" customHeight="false" outlineLevel="0" collapsed="false">
      <c r="A638" s="0" t="s">
        <v>97</v>
      </c>
      <c r="B638" s="0" t="s">
        <v>15</v>
      </c>
      <c r="C638" s="0" t="n">
        <v>2299</v>
      </c>
      <c r="D638" s="0" t="n">
        <v>50</v>
      </c>
      <c r="E638" s="0" t="n">
        <v>13</v>
      </c>
      <c r="F638" s="0" t="n">
        <v>8</v>
      </c>
      <c r="G638" s="0" t="n">
        <v>5</v>
      </c>
      <c r="H638" s="0" t="n">
        <v>1</v>
      </c>
      <c r="I638" s="0" t="n">
        <v>10309.73</v>
      </c>
      <c r="J638" s="0" t="n">
        <v>2268.75</v>
      </c>
    </row>
    <row r="639" customFormat="false" ht="15" hidden="false" customHeight="false" outlineLevel="0" collapsed="false">
      <c r="A639" s="0" t="s">
        <v>97</v>
      </c>
      <c r="B639" s="0" t="s">
        <v>16</v>
      </c>
      <c r="C639" s="0" t="n">
        <v>13595</v>
      </c>
      <c r="D639" s="0" t="n">
        <v>686</v>
      </c>
      <c r="E639" s="0" t="n">
        <v>160</v>
      </c>
      <c r="F639" s="0" t="n">
        <v>80</v>
      </c>
      <c r="G639" s="0" t="n">
        <v>58</v>
      </c>
      <c r="H639" s="0" t="n">
        <v>23</v>
      </c>
      <c r="I639" s="0" t="n">
        <v>160937.44</v>
      </c>
      <c r="J639" s="0" t="n">
        <v>1469.28</v>
      </c>
    </row>
    <row r="640" customFormat="false" ht="15" hidden="false" customHeight="false" outlineLevel="0" collapsed="false">
      <c r="A640" s="0" t="s">
        <v>97</v>
      </c>
      <c r="B640" s="0" t="s">
        <v>17</v>
      </c>
      <c r="C640" s="0" t="n">
        <v>1946</v>
      </c>
      <c r="D640" s="0" t="n">
        <v>215</v>
      </c>
      <c r="E640" s="0" t="n">
        <v>93</v>
      </c>
      <c r="F640" s="0" t="n">
        <v>61</v>
      </c>
      <c r="G640" s="0" t="n">
        <v>52</v>
      </c>
      <c r="H640" s="0" t="n">
        <v>25</v>
      </c>
      <c r="I640" s="0" t="n">
        <v>239880.33</v>
      </c>
      <c r="J640" s="0" t="n">
        <v>632.13</v>
      </c>
    </row>
    <row r="641" customFormat="false" ht="15" hidden="false" customHeight="false" outlineLevel="0" collapsed="false">
      <c r="A641" s="0" t="s">
        <v>97</v>
      </c>
      <c r="B641" s="0" t="s">
        <v>18</v>
      </c>
      <c r="C641" s="0" t="n">
        <v>9205</v>
      </c>
      <c r="D641" s="0" t="n">
        <v>221</v>
      </c>
      <c r="E641" s="0" t="n">
        <v>37</v>
      </c>
      <c r="F641" s="0" t="n">
        <v>16</v>
      </c>
      <c r="G641" s="0" t="n">
        <v>10</v>
      </c>
      <c r="H641" s="0" t="n">
        <v>1</v>
      </c>
      <c r="I641" s="0" t="n">
        <v>4563.84</v>
      </c>
      <c r="J641" s="0" t="n">
        <v>3884.69</v>
      </c>
    </row>
    <row r="642" customFormat="false" ht="15" hidden="false" customHeight="false" outlineLevel="0" collapsed="false">
      <c r="A642" s="0" t="s">
        <v>98</v>
      </c>
      <c r="B642" s="0" t="s">
        <v>11</v>
      </c>
      <c r="C642" s="0" t="n">
        <v>6412</v>
      </c>
      <c r="D642" s="0" t="n">
        <v>854</v>
      </c>
      <c r="E642" s="0" t="n">
        <v>313</v>
      </c>
      <c r="F642" s="0" t="n">
        <v>181</v>
      </c>
      <c r="G642" s="0" t="n">
        <v>139</v>
      </c>
      <c r="H642" s="0" t="n">
        <v>52</v>
      </c>
      <c r="I642" s="0" t="n">
        <v>283482.11</v>
      </c>
      <c r="J642" s="0" t="n">
        <v>2922.79</v>
      </c>
    </row>
    <row r="643" customFormat="false" ht="15" hidden="false" customHeight="false" outlineLevel="0" collapsed="false">
      <c r="A643" s="0" t="s">
        <v>98</v>
      </c>
      <c r="B643" s="0" t="s">
        <v>12</v>
      </c>
      <c r="C643" s="0" t="n">
        <v>10301</v>
      </c>
      <c r="D643" s="0" t="n">
        <v>286</v>
      </c>
      <c r="E643" s="0" t="n">
        <v>58</v>
      </c>
      <c r="F643" s="0" t="n">
        <v>27</v>
      </c>
      <c r="G643" s="0" t="n">
        <v>17</v>
      </c>
      <c r="H643" s="0" t="n">
        <v>3</v>
      </c>
      <c r="I643" s="0" t="n">
        <v>14261.92</v>
      </c>
      <c r="J643" s="0" t="n">
        <v>4217.3</v>
      </c>
    </row>
    <row r="644" customFormat="false" ht="15" hidden="false" customHeight="false" outlineLevel="0" collapsed="false">
      <c r="A644" s="0" t="s">
        <v>98</v>
      </c>
      <c r="B644" s="0" t="s">
        <v>13</v>
      </c>
      <c r="C644" s="0" t="n">
        <v>6953</v>
      </c>
      <c r="D644" s="0" t="n">
        <v>401</v>
      </c>
      <c r="E644" s="0" t="n">
        <v>82</v>
      </c>
      <c r="F644" s="0" t="n">
        <v>46</v>
      </c>
      <c r="G644" s="0" t="n">
        <v>38</v>
      </c>
      <c r="H644" s="0" t="n">
        <v>11</v>
      </c>
      <c r="I644" s="0" t="n">
        <v>63241.56</v>
      </c>
      <c r="J644" s="0" t="n">
        <v>7805.09</v>
      </c>
    </row>
    <row r="645" customFormat="false" ht="15" hidden="false" customHeight="false" outlineLevel="0" collapsed="false">
      <c r="A645" s="0" t="s">
        <v>98</v>
      </c>
      <c r="B645" s="0" t="s">
        <v>14</v>
      </c>
      <c r="C645" s="0" t="n">
        <v>11590</v>
      </c>
      <c r="D645" s="0" t="n">
        <v>153</v>
      </c>
      <c r="E645" s="0" t="n">
        <v>29</v>
      </c>
      <c r="F645" s="0" t="n">
        <v>14</v>
      </c>
      <c r="G645" s="0" t="n">
        <v>9</v>
      </c>
      <c r="H645" s="0" t="n">
        <v>1</v>
      </c>
      <c r="I645" s="0" t="n">
        <v>5332.69</v>
      </c>
      <c r="J645" s="0" t="n">
        <v>1694.02</v>
      </c>
    </row>
    <row r="646" customFormat="false" ht="15" hidden="false" customHeight="false" outlineLevel="0" collapsed="false">
      <c r="A646" s="0" t="s">
        <v>98</v>
      </c>
      <c r="B646" s="0" t="s">
        <v>15</v>
      </c>
      <c r="C646" s="0" t="n">
        <v>3081</v>
      </c>
      <c r="D646" s="0" t="n">
        <v>115</v>
      </c>
      <c r="E646" s="0" t="n">
        <v>28</v>
      </c>
      <c r="F646" s="0" t="n">
        <v>20</v>
      </c>
      <c r="G646" s="0" t="n">
        <v>16</v>
      </c>
      <c r="H646" s="0" t="n">
        <v>5</v>
      </c>
      <c r="I646" s="0" t="n">
        <v>55044.87</v>
      </c>
      <c r="J646" s="0" t="n">
        <v>4162.29</v>
      </c>
    </row>
    <row r="647" customFormat="false" ht="15" hidden="false" customHeight="false" outlineLevel="0" collapsed="false">
      <c r="A647" s="0" t="s">
        <v>98</v>
      </c>
      <c r="B647" s="0" t="s">
        <v>16</v>
      </c>
      <c r="C647" s="0" t="n">
        <v>9817</v>
      </c>
      <c r="D647" s="0" t="n">
        <v>408</v>
      </c>
      <c r="E647" s="0" t="n">
        <v>92</v>
      </c>
      <c r="F647" s="0" t="n">
        <v>50</v>
      </c>
      <c r="G647" s="0" t="n">
        <v>34</v>
      </c>
      <c r="H647" s="0" t="n">
        <v>15</v>
      </c>
      <c r="I647" s="0" t="n">
        <v>95865.89</v>
      </c>
      <c r="J647" s="0" t="n">
        <v>578.62</v>
      </c>
    </row>
    <row r="648" customFormat="false" ht="15" hidden="false" customHeight="false" outlineLevel="0" collapsed="false">
      <c r="A648" s="0" t="s">
        <v>98</v>
      </c>
      <c r="B648" s="0" t="s">
        <v>17</v>
      </c>
      <c r="C648" s="0" t="n">
        <v>1369</v>
      </c>
      <c r="D648" s="0" t="n">
        <v>242</v>
      </c>
      <c r="E648" s="0" t="n">
        <v>107</v>
      </c>
      <c r="F648" s="0" t="n">
        <v>75</v>
      </c>
      <c r="G648" s="0" t="n">
        <v>58</v>
      </c>
      <c r="H648" s="0" t="n">
        <v>23</v>
      </c>
      <c r="I648" s="0" t="n">
        <v>217349.21</v>
      </c>
      <c r="J648" s="0" t="n">
        <v>457.78</v>
      </c>
    </row>
    <row r="649" customFormat="false" ht="15" hidden="false" customHeight="false" outlineLevel="0" collapsed="false">
      <c r="A649" s="0" t="s">
        <v>98</v>
      </c>
      <c r="B649" s="0" t="s">
        <v>18</v>
      </c>
      <c r="C649" s="0" t="n">
        <v>9517</v>
      </c>
      <c r="D649" s="0" t="n">
        <v>111</v>
      </c>
      <c r="E649" s="0" t="n">
        <v>20</v>
      </c>
      <c r="F649" s="0" t="n">
        <v>9</v>
      </c>
      <c r="G649" s="0" t="n">
        <v>5</v>
      </c>
      <c r="H649" s="0" t="n">
        <v>1</v>
      </c>
      <c r="I649" s="0" t="n">
        <v>5870.79</v>
      </c>
      <c r="J649" s="0" t="n">
        <v>1258.4</v>
      </c>
    </row>
    <row r="650" customFormat="false" ht="15" hidden="false" customHeight="false" outlineLevel="0" collapsed="false">
      <c r="A650" s="0" t="s">
        <v>99</v>
      </c>
      <c r="B650" s="0" t="s">
        <v>11</v>
      </c>
      <c r="C650" s="0" t="n">
        <v>4439</v>
      </c>
      <c r="D650" s="0" t="n">
        <v>585</v>
      </c>
      <c r="E650" s="0" t="n">
        <v>188</v>
      </c>
      <c r="F650" s="0" t="n">
        <v>104</v>
      </c>
      <c r="G650" s="0" t="n">
        <v>81</v>
      </c>
      <c r="H650" s="0" t="n">
        <v>28</v>
      </c>
      <c r="I650" s="0" t="n">
        <v>159868.65</v>
      </c>
      <c r="J650" s="0" t="n">
        <v>1464.88</v>
      </c>
    </row>
    <row r="651" customFormat="false" ht="15" hidden="false" customHeight="false" outlineLevel="0" collapsed="false">
      <c r="A651" s="0" t="s">
        <v>99</v>
      </c>
      <c r="B651" s="0" t="s">
        <v>12</v>
      </c>
      <c r="C651" s="0" t="n">
        <v>14606</v>
      </c>
      <c r="D651" s="0" t="n">
        <v>422</v>
      </c>
      <c r="E651" s="0" t="n">
        <v>71</v>
      </c>
      <c r="F651" s="0" t="n">
        <v>36</v>
      </c>
      <c r="G651" s="0" t="n">
        <v>27</v>
      </c>
      <c r="H651" s="0" t="n">
        <v>5</v>
      </c>
      <c r="I651" s="0" t="n">
        <v>22827.65</v>
      </c>
      <c r="J651" s="0" t="n">
        <v>4519.86</v>
      </c>
    </row>
    <row r="652" customFormat="false" ht="15" hidden="false" customHeight="false" outlineLevel="0" collapsed="false">
      <c r="A652" s="0" t="s">
        <v>99</v>
      </c>
      <c r="B652" s="0" t="s">
        <v>13</v>
      </c>
      <c r="C652" s="0" t="n">
        <v>10637</v>
      </c>
      <c r="D652" s="0" t="n">
        <v>619</v>
      </c>
      <c r="E652" s="0" t="n">
        <v>165</v>
      </c>
      <c r="F652" s="0" t="n">
        <v>91</v>
      </c>
      <c r="G652" s="0" t="n">
        <v>76</v>
      </c>
      <c r="H652" s="0" t="n">
        <v>21</v>
      </c>
      <c r="I652" s="0" t="n">
        <v>149150.93</v>
      </c>
      <c r="J652" s="0" t="n">
        <v>10722.15</v>
      </c>
    </row>
    <row r="653" customFormat="false" ht="15" hidden="false" customHeight="false" outlineLevel="0" collapsed="false">
      <c r="A653" s="0" t="s">
        <v>99</v>
      </c>
      <c r="B653" s="0" t="s">
        <v>14</v>
      </c>
      <c r="C653" s="0" t="n">
        <v>8796</v>
      </c>
      <c r="D653" s="0" t="n">
        <v>243</v>
      </c>
      <c r="E653" s="0" t="n">
        <v>45</v>
      </c>
      <c r="F653" s="0" t="n">
        <v>21</v>
      </c>
      <c r="G653" s="0" t="n">
        <v>16</v>
      </c>
      <c r="H653" s="0" t="n">
        <v>3</v>
      </c>
      <c r="I653" s="0" t="n">
        <v>14007.19</v>
      </c>
      <c r="J653" s="0" t="n">
        <v>3064.93</v>
      </c>
    </row>
    <row r="654" customFormat="false" ht="15" hidden="false" customHeight="false" outlineLevel="0" collapsed="false">
      <c r="A654" s="0" t="s">
        <v>99</v>
      </c>
      <c r="B654" s="0" t="s">
        <v>15</v>
      </c>
      <c r="C654" s="0" t="n">
        <v>4656</v>
      </c>
      <c r="D654" s="0" t="n">
        <v>109</v>
      </c>
      <c r="E654" s="0" t="n">
        <v>29</v>
      </c>
      <c r="F654" s="0" t="n">
        <v>18</v>
      </c>
      <c r="G654" s="0" t="n">
        <v>13</v>
      </c>
      <c r="H654" s="0" t="n">
        <v>4</v>
      </c>
      <c r="I654" s="0" t="n">
        <v>52164.23</v>
      </c>
      <c r="J654" s="0" t="n">
        <v>4128.39</v>
      </c>
    </row>
    <row r="655" customFormat="false" ht="15" hidden="false" customHeight="false" outlineLevel="0" collapsed="false">
      <c r="A655" s="0" t="s">
        <v>99</v>
      </c>
      <c r="B655" s="0" t="s">
        <v>16</v>
      </c>
      <c r="C655" s="0" t="n">
        <v>8159</v>
      </c>
      <c r="D655" s="0" t="n">
        <v>345</v>
      </c>
      <c r="E655" s="0" t="n">
        <v>85</v>
      </c>
      <c r="F655" s="0" t="n">
        <v>50</v>
      </c>
      <c r="G655" s="0" t="n">
        <v>34</v>
      </c>
      <c r="H655" s="0" t="n">
        <v>13</v>
      </c>
      <c r="I655" s="0" t="n">
        <v>94354.05</v>
      </c>
      <c r="J655" s="0" t="n">
        <v>803.67</v>
      </c>
    </row>
    <row r="656" customFormat="false" ht="15" hidden="false" customHeight="false" outlineLevel="0" collapsed="false">
      <c r="A656" s="0" t="s">
        <v>99</v>
      </c>
      <c r="B656" s="0" t="s">
        <v>17</v>
      </c>
      <c r="C656" s="0" t="n">
        <v>2637</v>
      </c>
      <c r="D656" s="0" t="n">
        <v>372</v>
      </c>
      <c r="E656" s="0" t="n">
        <v>167</v>
      </c>
      <c r="F656" s="0" t="n">
        <v>108</v>
      </c>
      <c r="G656" s="0" t="n">
        <v>91</v>
      </c>
      <c r="H656" s="0" t="n">
        <v>42</v>
      </c>
      <c r="I656" s="0" t="n">
        <v>340399.51</v>
      </c>
      <c r="J656" s="0" t="n">
        <v>400.57</v>
      </c>
    </row>
    <row r="657" customFormat="false" ht="15" hidden="false" customHeight="false" outlineLevel="0" collapsed="false">
      <c r="A657" s="0" t="s">
        <v>99</v>
      </c>
      <c r="B657" s="0" t="s">
        <v>18</v>
      </c>
      <c r="C657" s="0" t="n">
        <v>10075</v>
      </c>
      <c r="D657" s="0" t="n">
        <v>185</v>
      </c>
      <c r="E657" s="0" t="n">
        <v>34</v>
      </c>
      <c r="F657" s="0" t="n">
        <v>16</v>
      </c>
      <c r="G657" s="0" t="n">
        <v>11</v>
      </c>
      <c r="H657" s="0" t="n">
        <v>2</v>
      </c>
      <c r="I657" s="0" t="n">
        <v>11457.47</v>
      </c>
      <c r="J657" s="0" t="n">
        <v>3325.94</v>
      </c>
    </row>
    <row r="658" customFormat="false" ht="15" hidden="false" customHeight="false" outlineLevel="0" collapsed="false">
      <c r="A658" s="0" t="s">
        <v>100</v>
      </c>
      <c r="B658" s="0" t="s">
        <v>11</v>
      </c>
      <c r="C658" s="0" t="n">
        <v>7940</v>
      </c>
      <c r="D658" s="0" t="n">
        <v>904</v>
      </c>
      <c r="E658" s="0" t="n">
        <v>287</v>
      </c>
      <c r="F658" s="0" t="n">
        <v>183</v>
      </c>
      <c r="G658" s="0" t="n">
        <v>145</v>
      </c>
      <c r="H658" s="0" t="n">
        <v>53</v>
      </c>
      <c r="I658" s="0" t="n">
        <v>270318.59</v>
      </c>
      <c r="J658" s="0" t="n">
        <v>4475.83</v>
      </c>
    </row>
    <row r="659" customFormat="false" ht="15" hidden="false" customHeight="false" outlineLevel="0" collapsed="false">
      <c r="A659" s="0" t="s">
        <v>100</v>
      </c>
      <c r="B659" s="0" t="s">
        <v>12</v>
      </c>
      <c r="C659" s="0" t="n">
        <v>8825</v>
      </c>
      <c r="D659" s="0" t="n">
        <v>205</v>
      </c>
      <c r="E659" s="0" t="n">
        <v>39</v>
      </c>
      <c r="F659" s="0" t="n">
        <v>20</v>
      </c>
      <c r="G659" s="0" t="n">
        <v>13</v>
      </c>
      <c r="H659" s="0" t="n">
        <v>3</v>
      </c>
      <c r="I659" s="0" t="n">
        <v>12327.66</v>
      </c>
      <c r="J659" s="0" t="n">
        <v>2440.28</v>
      </c>
    </row>
    <row r="660" customFormat="false" ht="15" hidden="false" customHeight="false" outlineLevel="0" collapsed="false">
      <c r="A660" s="0" t="s">
        <v>100</v>
      </c>
      <c r="B660" s="0" t="s">
        <v>13</v>
      </c>
      <c r="C660" s="0" t="n">
        <v>9568</v>
      </c>
      <c r="D660" s="0" t="n">
        <v>423</v>
      </c>
      <c r="E660" s="0" t="n">
        <v>100</v>
      </c>
      <c r="F660" s="0" t="n">
        <v>64</v>
      </c>
      <c r="G660" s="0" t="n">
        <v>51</v>
      </c>
      <c r="H660" s="0" t="n">
        <v>13</v>
      </c>
      <c r="I660" s="0" t="n">
        <v>83741.84</v>
      </c>
      <c r="J660" s="0" t="n">
        <v>9572.32</v>
      </c>
    </row>
    <row r="661" customFormat="false" ht="15" hidden="false" customHeight="false" outlineLevel="0" collapsed="false">
      <c r="A661" s="0" t="s">
        <v>100</v>
      </c>
      <c r="B661" s="0" t="s">
        <v>14</v>
      </c>
      <c r="C661" s="0" t="n">
        <v>17690</v>
      </c>
      <c r="D661" s="0" t="n">
        <v>357</v>
      </c>
      <c r="E661" s="0" t="n">
        <v>55</v>
      </c>
      <c r="F661" s="0" t="n">
        <v>24</v>
      </c>
      <c r="G661" s="0" t="n">
        <v>18</v>
      </c>
      <c r="H661" s="0" t="n">
        <v>3</v>
      </c>
      <c r="I661" s="0" t="n">
        <v>12174.43</v>
      </c>
      <c r="J661" s="0" t="n">
        <v>2980.5</v>
      </c>
    </row>
    <row r="662" customFormat="false" ht="15" hidden="false" customHeight="false" outlineLevel="0" collapsed="false">
      <c r="A662" s="0" t="s">
        <v>100</v>
      </c>
      <c r="B662" s="0" t="s">
        <v>15</v>
      </c>
      <c r="C662" s="0" t="n">
        <v>3191</v>
      </c>
      <c r="D662" s="0" t="n">
        <v>113</v>
      </c>
      <c r="E662" s="0" t="n">
        <v>25</v>
      </c>
      <c r="F662" s="0" t="n">
        <v>15</v>
      </c>
      <c r="G662" s="0" t="n">
        <v>11</v>
      </c>
      <c r="H662" s="0" t="n">
        <v>3</v>
      </c>
      <c r="I662" s="0" t="n">
        <v>35145.4</v>
      </c>
      <c r="J662" s="0" t="n">
        <v>5514.23</v>
      </c>
    </row>
    <row r="663" customFormat="false" ht="15" hidden="false" customHeight="false" outlineLevel="0" collapsed="false">
      <c r="A663" s="0" t="s">
        <v>100</v>
      </c>
      <c r="B663" s="0" t="s">
        <v>16</v>
      </c>
      <c r="C663" s="0" t="n">
        <v>6870</v>
      </c>
      <c r="D663" s="0" t="n">
        <v>472</v>
      </c>
      <c r="E663" s="0" t="n">
        <v>105</v>
      </c>
      <c r="F663" s="0" t="n">
        <v>54</v>
      </c>
      <c r="G663" s="0" t="n">
        <v>36</v>
      </c>
      <c r="H663" s="0" t="n">
        <v>12</v>
      </c>
      <c r="I663" s="0" t="n">
        <v>76839.6</v>
      </c>
      <c r="J663" s="0" t="n">
        <v>1203.11</v>
      </c>
    </row>
    <row r="664" customFormat="false" ht="15" hidden="false" customHeight="false" outlineLevel="0" collapsed="false">
      <c r="A664" s="0" t="s">
        <v>100</v>
      </c>
      <c r="B664" s="0" t="s">
        <v>17</v>
      </c>
      <c r="C664" s="0" t="n">
        <v>2403</v>
      </c>
      <c r="D664" s="0" t="n">
        <v>385</v>
      </c>
      <c r="E664" s="0" t="n">
        <v>170</v>
      </c>
      <c r="F664" s="0" t="n">
        <v>110</v>
      </c>
      <c r="G664" s="0" t="n">
        <v>94</v>
      </c>
      <c r="H664" s="0" t="n">
        <v>37</v>
      </c>
      <c r="I664" s="0" t="n">
        <v>358156.8</v>
      </c>
      <c r="J664" s="0" t="n">
        <v>971.66</v>
      </c>
    </row>
    <row r="665" customFormat="false" ht="15" hidden="false" customHeight="false" outlineLevel="0" collapsed="false">
      <c r="A665" s="0" t="s">
        <v>100</v>
      </c>
      <c r="B665" s="0" t="s">
        <v>18</v>
      </c>
      <c r="C665" s="0" t="n">
        <v>8029</v>
      </c>
      <c r="D665" s="0" t="n">
        <v>166</v>
      </c>
      <c r="E665" s="0" t="n">
        <v>30</v>
      </c>
      <c r="F665" s="0" t="n">
        <v>12</v>
      </c>
      <c r="G665" s="0" t="n">
        <v>8</v>
      </c>
      <c r="H665" s="0" t="n">
        <v>1</v>
      </c>
      <c r="I665" s="0" t="n">
        <v>5230.14</v>
      </c>
      <c r="J665" s="0" t="n">
        <v>2217.46</v>
      </c>
    </row>
    <row r="666" customFormat="false" ht="15" hidden="false" customHeight="false" outlineLevel="0" collapsed="false">
      <c r="A666" s="0" t="s">
        <v>101</v>
      </c>
      <c r="B666" s="0" t="s">
        <v>11</v>
      </c>
      <c r="C666" s="0" t="n">
        <v>7803</v>
      </c>
      <c r="D666" s="0" t="n">
        <v>917</v>
      </c>
      <c r="E666" s="0" t="n">
        <v>276</v>
      </c>
      <c r="F666" s="0" t="n">
        <v>158</v>
      </c>
      <c r="G666" s="0" t="n">
        <v>125</v>
      </c>
      <c r="H666" s="0" t="n">
        <v>46</v>
      </c>
      <c r="I666" s="0" t="n">
        <v>321578.78</v>
      </c>
      <c r="J666" s="0" t="n">
        <v>3850.92</v>
      </c>
    </row>
    <row r="667" customFormat="false" ht="15" hidden="false" customHeight="false" outlineLevel="0" collapsed="false">
      <c r="A667" s="0" t="s">
        <v>101</v>
      </c>
      <c r="B667" s="0" t="s">
        <v>12</v>
      </c>
      <c r="C667" s="0" t="n">
        <v>11390</v>
      </c>
      <c r="D667" s="0" t="n">
        <v>218</v>
      </c>
      <c r="E667" s="0" t="n">
        <v>41</v>
      </c>
      <c r="F667" s="0" t="n">
        <v>22</v>
      </c>
      <c r="G667" s="0" t="n">
        <v>14</v>
      </c>
      <c r="H667" s="0" t="n">
        <v>3</v>
      </c>
      <c r="I667" s="0" t="n">
        <v>12927.12</v>
      </c>
      <c r="J667" s="0" t="n">
        <v>1870.01</v>
      </c>
    </row>
    <row r="668" customFormat="false" ht="15" hidden="false" customHeight="false" outlineLevel="0" collapsed="false">
      <c r="A668" s="0" t="s">
        <v>101</v>
      </c>
      <c r="B668" s="0" t="s">
        <v>13</v>
      </c>
      <c r="C668" s="0" t="n">
        <v>14269</v>
      </c>
      <c r="D668" s="0" t="n">
        <v>839</v>
      </c>
      <c r="E668" s="0" t="n">
        <v>210</v>
      </c>
      <c r="F668" s="0" t="n">
        <v>119</v>
      </c>
      <c r="G668" s="0" t="n">
        <v>88</v>
      </c>
      <c r="H668" s="0" t="n">
        <v>30</v>
      </c>
      <c r="I668" s="0" t="n">
        <v>202184.66</v>
      </c>
      <c r="J668" s="0" t="n">
        <v>12944.21</v>
      </c>
    </row>
    <row r="669" customFormat="false" ht="15" hidden="false" customHeight="false" outlineLevel="0" collapsed="false">
      <c r="A669" s="0" t="s">
        <v>101</v>
      </c>
      <c r="B669" s="0" t="s">
        <v>14</v>
      </c>
      <c r="C669" s="0" t="n">
        <v>11835</v>
      </c>
      <c r="D669" s="0" t="n">
        <v>238</v>
      </c>
      <c r="E669" s="0" t="n">
        <v>36</v>
      </c>
      <c r="F669" s="0" t="n">
        <v>15</v>
      </c>
      <c r="G669" s="0" t="n">
        <v>9</v>
      </c>
      <c r="H669" s="0" t="n">
        <v>1</v>
      </c>
      <c r="I669" s="0" t="n">
        <v>5689.41</v>
      </c>
      <c r="J669" s="0" t="n">
        <v>3276.29</v>
      </c>
    </row>
    <row r="670" customFormat="false" ht="15" hidden="false" customHeight="false" outlineLevel="0" collapsed="false">
      <c r="A670" s="0" t="s">
        <v>101</v>
      </c>
      <c r="B670" s="0" t="s">
        <v>15</v>
      </c>
      <c r="C670" s="0" t="n">
        <v>3339</v>
      </c>
      <c r="D670" s="0" t="n">
        <v>104</v>
      </c>
      <c r="E670" s="0" t="n">
        <v>28</v>
      </c>
      <c r="F670" s="0" t="n">
        <v>16</v>
      </c>
      <c r="G670" s="0" t="n">
        <v>13</v>
      </c>
      <c r="H670" s="0" t="n">
        <v>5</v>
      </c>
      <c r="I670" s="0" t="n">
        <v>54036.19</v>
      </c>
      <c r="J670" s="0" t="n">
        <v>3309.96</v>
      </c>
    </row>
    <row r="671" customFormat="false" ht="15" hidden="false" customHeight="false" outlineLevel="0" collapsed="false">
      <c r="A671" s="0" t="s">
        <v>101</v>
      </c>
      <c r="B671" s="0" t="s">
        <v>16</v>
      </c>
      <c r="C671" s="0" t="n">
        <v>8587</v>
      </c>
      <c r="D671" s="0" t="n">
        <v>528</v>
      </c>
      <c r="E671" s="0" t="n">
        <v>128</v>
      </c>
      <c r="F671" s="0" t="n">
        <v>69</v>
      </c>
      <c r="G671" s="0" t="n">
        <v>48</v>
      </c>
      <c r="H671" s="0" t="n">
        <v>21</v>
      </c>
      <c r="I671" s="0" t="n">
        <v>157394.98</v>
      </c>
      <c r="J671" s="0" t="n">
        <v>1429.1</v>
      </c>
    </row>
    <row r="672" customFormat="false" ht="15" hidden="false" customHeight="false" outlineLevel="0" collapsed="false">
      <c r="A672" s="0" t="s">
        <v>101</v>
      </c>
      <c r="B672" s="0" t="s">
        <v>17</v>
      </c>
      <c r="C672" s="0" t="n">
        <v>2809</v>
      </c>
      <c r="D672" s="0" t="n">
        <v>344</v>
      </c>
      <c r="E672" s="0" t="n">
        <v>156</v>
      </c>
      <c r="F672" s="0" t="n">
        <v>112</v>
      </c>
      <c r="G672" s="0" t="n">
        <v>93</v>
      </c>
      <c r="H672" s="0" t="n">
        <v>46</v>
      </c>
      <c r="I672" s="0" t="n">
        <v>373194.37</v>
      </c>
      <c r="J672" s="0" t="n">
        <v>764.6</v>
      </c>
    </row>
    <row r="673" customFormat="false" ht="15" hidden="false" customHeight="false" outlineLevel="0" collapsed="false">
      <c r="A673" s="0" t="s">
        <v>101</v>
      </c>
      <c r="B673" s="0" t="s">
        <v>18</v>
      </c>
      <c r="C673" s="0" t="n">
        <v>10405</v>
      </c>
      <c r="D673" s="0" t="n">
        <v>139</v>
      </c>
      <c r="E673" s="0" t="n">
        <v>24</v>
      </c>
      <c r="F673" s="0" t="n">
        <v>9</v>
      </c>
      <c r="G673" s="0" t="n">
        <v>5</v>
      </c>
      <c r="H673" s="0" t="n">
        <v>1</v>
      </c>
      <c r="I673" s="0" t="n">
        <v>5588.03</v>
      </c>
      <c r="J673" s="0" t="n">
        <v>2063</v>
      </c>
    </row>
    <row r="674" customFormat="false" ht="15" hidden="false" customHeight="false" outlineLevel="0" collapsed="false">
      <c r="A674" s="0" t="s">
        <v>102</v>
      </c>
      <c r="B674" s="0" t="s">
        <v>11</v>
      </c>
      <c r="C674" s="0" t="n">
        <v>4604</v>
      </c>
      <c r="D674" s="0" t="n">
        <v>537</v>
      </c>
      <c r="E674" s="0" t="n">
        <v>198</v>
      </c>
      <c r="F674" s="0" t="n">
        <v>114</v>
      </c>
      <c r="G674" s="0" t="n">
        <v>93</v>
      </c>
      <c r="H674" s="0" t="n">
        <v>28</v>
      </c>
      <c r="I674" s="0" t="n">
        <v>161632.11</v>
      </c>
      <c r="J674" s="0" t="n">
        <v>1153.41</v>
      </c>
    </row>
    <row r="675" customFormat="false" ht="15" hidden="false" customHeight="false" outlineLevel="0" collapsed="false">
      <c r="A675" s="0" t="s">
        <v>102</v>
      </c>
      <c r="B675" s="0" t="s">
        <v>12</v>
      </c>
      <c r="C675" s="0" t="n">
        <v>15779</v>
      </c>
      <c r="D675" s="0" t="n">
        <v>357</v>
      </c>
      <c r="E675" s="0" t="n">
        <v>69</v>
      </c>
      <c r="F675" s="0" t="n">
        <v>37</v>
      </c>
      <c r="G675" s="0" t="n">
        <v>27</v>
      </c>
      <c r="H675" s="0" t="n">
        <v>7</v>
      </c>
      <c r="I675" s="0" t="n">
        <v>35968.89</v>
      </c>
      <c r="J675" s="0" t="n">
        <v>3204.49</v>
      </c>
    </row>
    <row r="676" customFormat="false" ht="15" hidden="false" customHeight="false" outlineLevel="0" collapsed="false">
      <c r="A676" s="0" t="s">
        <v>102</v>
      </c>
      <c r="B676" s="0" t="s">
        <v>13</v>
      </c>
      <c r="C676" s="0" t="n">
        <v>10764</v>
      </c>
      <c r="D676" s="0" t="n">
        <v>433</v>
      </c>
      <c r="E676" s="0" t="n">
        <v>121</v>
      </c>
      <c r="F676" s="0" t="n">
        <v>64</v>
      </c>
      <c r="G676" s="0" t="n">
        <v>46</v>
      </c>
      <c r="H676" s="0" t="n">
        <v>13</v>
      </c>
      <c r="I676" s="0" t="n">
        <v>65354.39</v>
      </c>
      <c r="J676" s="0" t="n">
        <v>7191.48</v>
      </c>
    </row>
    <row r="677" customFormat="false" ht="15" hidden="false" customHeight="false" outlineLevel="0" collapsed="false">
      <c r="A677" s="0" t="s">
        <v>102</v>
      </c>
      <c r="B677" s="0" t="s">
        <v>14</v>
      </c>
      <c r="C677" s="0" t="n">
        <v>16547</v>
      </c>
      <c r="D677" s="0" t="n">
        <v>352</v>
      </c>
      <c r="E677" s="0" t="n">
        <v>68</v>
      </c>
      <c r="F677" s="0" t="n">
        <v>29</v>
      </c>
      <c r="G677" s="0" t="n">
        <v>17</v>
      </c>
      <c r="H677" s="0" t="n">
        <v>3</v>
      </c>
      <c r="I677" s="0" t="n">
        <v>16602.36</v>
      </c>
      <c r="J677" s="0" t="n">
        <v>3436</v>
      </c>
    </row>
    <row r="678" customFormat="false" ht="15" hidden="false" customHeight="false" outlineLevel="0" collapsed="false">
      <c r="A678" s="0" t="s">
        <v>102</v>
      </c>
      <c r="B678" s="0" t="s">
        <v>15</v>
      </c>
      <c r="C678" s="0" t="n">
        <v>2975</v>
      </c>
      <c r="D678" s="0" t="n">
        <v>117</v>
      </c>
      <c r="E678" s="0" t="n">
        <v>32</v>
      </c>
      <c r="F678" s="0" t="n">
        <v>20</v>
      </c>
      <c r="G678" s="0" t="n">
        <v>15</v>
      </c>
      <c r="H678" s="0" t="n">
        <v>5</v>
      </c>
      <c r="I678" s="0" t="n">
        <v>61085.98</v>
      </c>
      <c r="J678" s="0" t="n">
        <v>5771.9</v>
      </c>
    </row>
    <row r="679" customFormat="false" ht="15" hidden="false" customHeight="false" outlineLevel="0" collapsed="false">
      <c r="A679" s="0" t="s">
        <v>102</v>
      </c>
      <c r="B679" s="0" t="s">
        <v>16</v>
      </c>
      <c r="C679" s="0" t="n">
        <v>9181</v>
      </c>
      <c r="D679" s="0" t="n">
        <v>483</v>
      </c>
      <c r="E679" s="0" t="n">
        <v>115</v>
      </c>
      <c r="F679" s="0" t="n">
        <v>61</v>
      </c>
      <c r="G679" s="0" t="n">
        <v>42</v>
      </c>
      <c r="H679" s="0" t="n">
        <v>15</v>
      </c>
      <c r="I679" s="0" t="n">
        <v>108500.1</v>
      </c>
      <c r="J679" s="0" t="n">
        <v>1424.76</v>
      </c>
    </row>
    <row r="680" customFormat="false" ht="15" hidden="false" customHeight="false" outlineLevel="0" collapsed="false">
      <c r="A680" s="0" t="s">
        <v>102</v>
      </c>
      <c r="B680" s="0" t="s">
        <v>17</v>
      </c>
      <c r="C680" s="0" t="n">
        <v>2334</v>
      </c>
      <c r="D680" s="0" t="n">
        <v>367</v>
      </c>
      <c r="E680" s="0" t="n">
        <v>182</v>
      </c>
      <c r="F680" s="0" t="n">
        <v>122</v>
      </c>
      <c r="G680" s="0" t="n">
        <v>103</v>
      </c>
      <c r="H680" s="0" t="n">
        <v>48</v>
      </c>
      <c r="I680" s="0" t="n">
        <v>348755.28</v>
      </c>
      <c r="J680" s="0" t="n">
        <v>812.78</v>
      </c>
    </row>
    <row r="681" customFormat="false" ht="15" hidden="false" customHeight="false" outlineLevel="0" collapsed="false">
      <c r="A681" s="0" t="s">
        <v>102</v>
      </c>
      <c r="B681" s="0" t="s">
        <v>18</v>
      </c>
      <c r="C681" s="0" t="n">
        <v>9738</v>
      </c>
      <c r="D681" s="0" t="n">
        <v>109</v>
      </c>
      <c r="E681" s="0" t="n">
        <v>20</v>
      </c>
      <c r="F681" s="0" t="n">
        <v>9</v>
      </c>
      <c r="G681" s="0" t="n">
        <v>5</v>
      </c>
      <c r="H681" s="0" t="n">
        <v>1</v>
      </c>
      <c r="I681" s="0" t="n">
        <v>5687.63</v>
      </c>
      <c r="J681" s="0" t="n">
        <v>1123.09</v>
      </c>
    </row>
    <row r="682" customFormat="false" ht="15" hidden="false" customHeight="false" outlineLevel="0" collapsed="false">
      <c r="A682" s="0" t="s">
        <v>103</v>
      </c>
      <c r="B682" s="0" t="s">
        <v>11</v>
      </c>
      <c r="C682" s="0" t="n">
        <v>3304</v>
      </c>
      <c r="D682" s="0" t="n">
        <v>426</v>
      </c>
      <c r="E682" s="0" t="n">
        <v>128</v>
      </c>
      <c r="F682" s="0" t="n">
        <v>75</v>
      </c>
      <c r="G682" s="0" t="n">
        <v>58</v>
      </c>
      <c r="H682" s="0" t="n">
        <v>21</v>
      </c>
      <c r="I682" s="0" t="n">
        <v>117771.97</v>
      </c>
      <c r="J682" s="0" t="n">
        <v>1831.26</v>
      </c>
    </row>
    <row r="683" customFormat="false" ht="15" hidden="false" customHeight="false" outlineLevel="0" collapsed="false">
      <c r="A683" s="0" t="s">
        <v>103</v>
      </c>
      <c r="B683" s="0" t="s">
        <v>12</v>
      </c>
      <c r="C683" s="0" t="n">
        <v>14537</v>
      </c>
      <c r="D683" s="0" t="n">
        <v>245</v>
      </c>
      <c r="E683" s="0" t="n">
        <v>43</v>
      </c>
      <c r="F683" s="0" t="n">
        <v>18</v>
      </c>
      <c r="G683" s="0" t="n">
        <v>12</v>
      </c>
      <c r="H683" s="0" t="n">
        <v>2</v>
      </c>
      <c r="I683" s="0" t="n">
        <v>8869.81</v>
      </c>
      <c r="J683" s="0" t="n">
        <v>3167.41</v>
      </c>
    </row>
    <row r="684" customFormat="false" ht="15" hidden="false" customHeight="false" outlineLevel="0" collapsed="false">
      <c r="A684" s="0" t="s">
        <v>103</v>
      </c>
      <c r="B684" s="0" t="s">
        <v>13</v>
      </c>
      <c r="C684" s="0" t="n">
        <v>9603</v>
      </c>
      <c r="D684" s="0" t="n">
        <v>350</v>
      </c>
      <c r="E684" s="0" t="n">
        <v>74</v>
      </c>
      <c r="F684" s="0" t="n">
        <v>47</v>
      </c>
      <c r="G684" s="0" t="n">
        <v>33</v>
      </c>
      <c r="H684" s="0" t="n">
        <v>8</v>
      </c>
      <c r="I684" s="0" t="n">
        <v>54885.64</v>
      </c>
      <c r="J684" s="0" t="n">
        <v>6117.38</v>
      </c>
    </row>
    <row r="685" customFormat="false" ht="15" hidden="false" customHeight="false" outlineLevel="0" collapsed="false">
      <c r="A685" s="0" t="s">
        <v>103</v>
      </c>
      <c r="B685" s="0" t="s">
        <v>14</v>
      </c>
      <c r="C685" s="0" t="n">
        <v>11033</v>
      </c>
      <c r="D685" s="0" t="n">
        <v>201</v>
      </c>
      <c r="E685" s="0" t="n">
        <v>43</v>
      </c>
      <c r="F685" s="0" t="n">
        <v>22</v>
      </c>
      <c r="G685" s="0" t="n">
        <v>16</v>
      </c>
      <c r="H685" s="0" t="n">
        <v>3</v>
      </c>
      <c r="I685" s="0" t="n">
        <v>13301.42</v>
      </c>
      <c r="J685" s="0" t="n">
        <v>1502.73</v>
      </c>
    </row>
    <row r="686" customFormat="false" ht="15" hidden="false" customHeight="false" outlineLevel="0" collapsed="false">
      <c r="A686" s="0" t="s">
        <v>103</v>
      </c>
      <c r="B686" s="0" t="s">
        <v>15</v>
      </c>
      <c r="C686" s="0" t="n">
        <v>3067</v>
      </c>
      <c r="D686" s="0" t="n">
        <v>92</v>
      </c>
      <c r="E686" s="0" t="n">
        <v>23</v>
      </c>
      <c r="F686" s="0" t="n">
        <v>16</v>
      </c>
      <c r="G686" s="0" t="n">
        <v>13</v>
      </c>
      <c r="H686" s="0" t="n">
        <v>4</v>
      </c>
      <c r="I686" s="0" t="n">
        <v>46256.68</v>
      </c>
      <c r="J686" s="0" t="n">
        <v>4024.51</v>
      </c>
    </row>
    <row r="687" customFormat="false" ht="15" hidden="false" customHeight="false" outlineLevel="0" collapsed="false">
      <c r="A687" s="0" t="s">
        <v>103</v>
      </c>
      <c r="B687" s="0" t="s">
        <v>16</v>
      </c>
      <c r="C687" s="0" t="n">
        <v>13304</v>
      </c>
      <c r="D687" s="0" t="n">
        <v>688</v>
      </c>
      <c r="E687" s="0" t="n">
        <v>162</v>
      </c>
      <c r="F687" s="0" t="n">
        <v>92</v>
      </c>
      <c r="G687" s="0" t="n">
        <v>70</v>
      </c>
      <c r="H687" s="0" t="n">
        <v>31</v>
      </c>
      <c r="I687" s="0" t="n">
        <v>247595.57</v>
      </c>
      <c r="J687" s="0" t="n">
        <v>997.82</v>
      </c>
    </row>
    <row r="688" customFormat="false" ht="15" hidden="false" customHeight="false" outlineLevel="0" collapsed="false">
      <c r="A688" s="0" t="s">
        <v>103</v>
      </c>
      <c r="B688" s="0" t="s">
        <v>17</v>
      </c>
      <c r="C688" s="0" t="n">
        <v>2829</v>
      </c>
      <c r="D688" s="0" t="n">
        <v>541</v>
      </c>
      <c r="E688" s="0" t="n">
        <v>224</v>
      </c>
      <c r="F688" s="0" t="n">
        <v>162</v>
      </c>
      <c r="G688" s="0" t="n">
        <v>135</v>
      </c>
      <c r="H688" s="0" t="n">
        <v>57</v>
      </c>
      <c r="I688" s="0" t="n">
        <v>456075.8</v>
      </c>
      <c r="J688" s="0" t="n">
        <v>1054.34</v>
      </c>
    </row>
    <row r="689" customFormat="false" ht="15" hidden="false" customHeight="false" outlineLevel="0" collapsed="false">
      <c r="A689" s="0" t="s">
        <v>103</v>
      </c>
      <c r="B689" s="0" t="s">
        <v>18</v>
      </c>
      <c r="C689" s="0" t="n">
        <v>9055</v>
      </c>
      <c r="D689" s="0" t="n">
        <v>251</v>
      </c>
      <c r="E689" s="0" t="n">
        <v>47</v>
      </c>
      <c r="F689" s="0" t="n">
        <v>20</v>
      </c>
      <c r="G689" s="0" t="n">
        <v>13</v>
      </c>
      <c r="H689" s="0" t="n">
        <v>2</v>
      </c>
      <c r="I689" s="0" t="n">
        <v>9968.01</v>
      </c>
      <c r="J689" s="0" t="n">
        <v>3094.47</v>
      </c>
    </row>
    <row r="690" customFormat="false" ht="15" hidden="false" customHeight="false" outlineLevel="0" collapsed="false">
      <c r="A690" s="0" t="s">
        <v>104</v>
      </c>
      <c r="B690" s="0" t="s">
        <v>11</v>
      </c>
      <c r="C690" s="0" t="n">
        <v>3727</v>
      </c>
      <c r="D690" s="0" t="n">
        <v>526</v>
      </c>
      <c r="E690" s="0" t="n">
        <v>185</v>
      </c>
      <c r="F690" s="0" t="n">
        <v>110</v>
      </c>
      <c r="G690" s="0" t="n">
        <v>83</v>
      </c>
      <c r="H690" s="0" t="n">
        <v>30</v>
      </c>
      <c r="I690" s="0" t="n">
        <v>199691.15</v>
      </c>
      <c r="J690" s="0" t="n">
        <v>2421.7</v>
      </c>
    </row>
    <row r="691" customFormat="false" ht="15" hidden="false" customHeight="false" outlineLevel="0" collapsed="false">
      <c r="A691" s="0" t="s">
        <v>104</v>
      </c>
      <c r="B691" s="0" t="s">
        <v>12</v>
      </c>
      <c r="C691" s="0" t="n">
        <v>18412</v>
      </c>
      <c r="D691" s="0" t="n">
        <v>471</v>
      </c>
      <c r="E691" s="0" t="n">
        <v>75</v>
      </c>
      <c r="F691" s="0" t="n">
        <v>38</v>
      </c>
      <c r="G691" s="0" t="n">
        <v>29</v>
      </c>
      <c r="H691" s="0" t="n">
        <v>8</v>
      </c>
      <c r="I691" s="0" t="n">
        <v>42302.53</v>
      </c>
      <c r="J691" s="0" t="n">
        <v>4143.75</v>
      </c>
    </row>
    <row r="692" customFormat="false" ht="15" hidden="false" customHeight="false" outlineLevel="0" collapsed="false">
      <c r="A692" s="0" t="s">
        <v>104</v>
      </c>
      <c r="B692" s="0" t="s">
        <v>13</v>
      </c>
      <c r="C692" s="0" t="n">
        <v>8102</v>
      </c>
      <c r="D692" s="0" t="n">
        <v>287</v>
      </c>
      <c r="E692" s="0" t="n">
        <v>71</v>
      </c>
      <c r="F692" s="0" t="n">
        <v>38</v>
      </c>
      <c r="G692" s="0" t="n">
        <v>28</v>
      </c>
      <c r="H692" s="0" t="n">
        <v>8</v>
      </c>
      <c r="I692" s="0" t="n">
        <v>62265.9</v>
      </c>
      <c r="J692" s="0" t="n">
        <v>4400.53</v>
      </c>
    </row>
    <row r="693" customFormat="false" ht="15" hidden="false" customHeight="false" outlineLevel="0" collapsed="false">
      <c r="A693" s="0" t="s">
        <v>104</v>
      </c>
      <c r="B693" s="0" t="s">
        <v>14</v>
      </c>
      <c r="C693" s="0" t="n">
        <v>16177</v>
      </c>
      <c r="D693" s="0" t="n">
        <v>343</v>
      </c>
      <c r="E693" s="0" t="n">
        <v>64</v>
      </c>
      <c r="F693" s="0" t="n">
        <v>28</v>
      </c>
      <c r="G693" s="0" t="n">
        <v>19</v>
      </c>
      <c r="H693" s="0" t="n">
        <v>3</v>
      </c>
      <c r="I693" s="0" t="n">
        <v>11888.68</v>
      </c>
      <c r="J693" s="0" t="n">
        <v>3935.15</v>
      </c>
    </row>
    <row r="694" customFormat="false" ht="15" hidden="false" customHeight="false" outlineLevel="0" collapsed="false">
      <c r="A694" s="0" t="s">
        <v>104</v>
      </c>
      <c r="B694" s="0" t="s">
        <v>15</v>
      </c>
      <c r="C694" s="0" t="n">
        <v>3740</v>
      </c>
      <c r="D694" s="0" t="n">
        <v>96</v>
      </c>
      <c r="E694" s="0" t="n">
        <v>22</v>
      </c>
      <c r="F694" s="0" t="n">
        <v>13</v>
      </c>
      <c r="G694" s="0" t="n">
        <v>10</v>
      </c>
      <c r="H694" s="0" t="n">
        <v>3</v>
      </c>
      <c r="I694" s="0" t="n">
        <v>31564.7</v>
      </c>
      <c r="J694" s="0" t="n">
        <v>3193.64</v>
      </c>
    </row>
    <row r="695" customFormat="false" ht="15" hidden="false" customHeight="false" outlineLevel="0" collapsed="false">
      <c r="A695" s="0" t="s">
        <v>104</v>
      </c>
      <c r="B695" s="0" t="s">
        <v>16</v>
      </c>
      <c r="C695" s="0" t="n">
        <v>11634</v>
      </c>
      <c r="D695" s="0" t="n">
        <v>500</v>
      </c>
      <c r="E695" s="0" t="n">
        <v>104</v>
      </c>
      <c r="F695" s="0" t="n">
        <v>52</v>
      </c>
      <c r="G695" s="0" t="n">
        <v>36</v>
      </c>
      <c r="H695" s="0" t="n">
        <v>13</v>
      </c>
      <c r="I695" s="0" t="n">
        <v>93017.26</v>
      </c>
      <c r="J695" s="0" t="n">
        <v>760.05</v>
      </c>
    </row>
    <row r="696" customFormat="false" ht="15" hidden="false" customHeight="false" outlineLevel="0" collapsed="false">
      <c r="A696" s="0" t="s">
        <v>104</v>
      </c>
      <c r="B696" s="0" t="s">
        <v>17</v>
      </c>
      <c r="C696" s="0" t="n">
        <v>3828</v>
      </c>
      <c r="D696" s="0" t="n">
        <v>616</v>
      </c>
      <c r="E696" s="0" t="n">
        <v>297</v>
      </c>
      <c r="F696" s="0" t="n">
        <v>214</v>
      </c>
      <c r="G696" s="0" t="n">
        <v>169</v>
      </c>
      <c r="H696" s="0" t="n">
        <v>80</v>
      </c>
      <c r="I696" s="0" t="n">
        <v>713385.88</v>
      </c>
      <c r="J696" s="0" t="n">
        <v>954.92</v>
      </c>
    </row>
    <row r="697" customFormat="false" ht="15" hidden="false" customHeight="false" outlineLevel="0" collapsed="false">
      <c r="A697" s="0" t="s">
        <v>104</v>
      </c>
      <c r="B697" s="0" t="s">
        <v>18</v>
      </c>
      <c r="C697" s="0" t="n">
        <v>7386</v>
      </c>
      <c r="D697" s="0" t="n">
        <v>221</v>
      </c>
      <c r="E697" s="0" t="n">
        <v>37</v>
      </c>
      <c r="F697" s="0" t="n">
        <v>14</v>
      </c>
      <c r="G697" s="0" t="n">
        <v>10</v>
      </c>
      <c r="H697" s="0" t="n">
        <v>1</v>
      </c>
      <c r="I697" s="0" t="n">
        <v>5450.65</v>
      </c>
      <c r="J697" s="0" t="n">
        <v>3749.68</v>
      </c>
    </row>
    <row r="698" customFormat="false" ht="15" hidden="false" customHeight="false" outlineLevel="0" collapsed="false">
      <c r="A698" s="0" t="s">
        <v>105</v>
      </c>
      <c r="B698" s="0" t="s">
        <v>11</v>
      </c>
      <c r="C698" s="0" t="n">
        <v>3689</v>
      </c>
      <c r="D698" s="0" t="n">
        <v>376</v>
      </c>
      <c r="E698" s="0" t="n">
        <v>117</v>
      </c>
      <c r="F698" s="0" t="n">
        <v>72</v>
      </c>
      <c r="G698" s="0" t="n">
        <v>54</v>
      </c>
      <c r="H698" s="0" t="n">
        <v>19</v>
      </c>
      <c r="I698" s="0" t="n">
        <v>128851.62</v>
      </c>
      <c r="J698" s="0" t="n">
        <v>1733.02</v>
      </c>
    </row>
    <row r="699" customFormat="false" ht="15" hidden="false" customHeight="false" outlineLevel="0" collapsed="false">
      <c r="A699" s="0" t="s">
        <v>105</v>
      </c>
      <c r="B699" s="0" t="s">
        <v>12</v>
      </c>
      <c r="C699" s="0" t="n">
        <v>13431</v>
      </c>
      <c r="D699" s="0" t="n">
        <v>399</v>
      </c>
      <c r="E699" s="0" t="n">
        <v>96</v>
      </c>
      <c r="F699" s="0" t="n">
        <v>44</v>
      </c>
      <c r="G699" s="0" t="n">
        <v>28</v>
      </c>
      <c r="H699" s="0" t="n">
        <v>6</v>
      </c>
      <c r="I699" s="0" t="n">
        <v>32417.99</v>
      </c>
      <c r="J699" s="0" t="n">
        <v>5500.11</v>
      </c>
    </row>
    <row r="700" customFormat="false" ht="15" hidden="false" customHeight="false" outlineLevel="0" collapsed="false">
      <c r="A700" s="0" t="s">
        <v>105</v>
      </c>
      <c r="B700" s="0" t="s">
        <v>13</v>
      </c>
      <c r="C700" s="0" t="n">
        <v>11359</v>
      </c>
      <c r="D700" s="0" t="n">
        <v>672</v>
      </c>
      <c r="E700" s="0" t="n">
        <v>199</v>
      </c>
      <c r="F700" s="0" t="n">
        <v>101</v>
      </c>
      <c r="G700" s="0" t="n">
        <v>83</v>
      </c>
      <c r="H700" s="0" t="n">
        <v>26</v>
      </c>
      <c r="I700" s="0" t="n">
        <v>140011.29</v>
      </c>
      <c r="J700" s="0" t="n">
        <v>13758.14</v>
      </c>
    </row>
    <row r="701" customFormat="false" ht="15" hidden="false" customHeight="false" outlineLevel="0" collapsed="false">
      <c r="A701" s="0" t="s">
        <v>105</v>
      </c>
      <c r="B701" s="0" t="s">
        <v>14</v>
      </c>
      <c r="C701" s="0" t="n">
        <v>10244</v>
      </c>
      <c r="D701" s="0" t="n">
        <v>131</v>
      </c>
      <c r="E701" s="0" t="n">
        <v>22</v>
      </c>
      <c r="F701" s="0" t="n">
        <v>9</v>
      </c>
      <c r="G701" s="0" t="n">
        <v>6</v>
      </c>
      <c r="H701" s="0" t="n">
        <v>1</v>
      </c>
      <c r="I701" s="0" t="n">
        <v>4850.64</v>
      </c>
      <c r="J701" s="0" t="n">
        <v>1202.79</v>
      </c>
    </row>
    <row r="702" customFormat="false" ht="15" hidden="false" customHeight="false" outlineLevel="0" collapsed="false">
      <c r="A702" s="0" t="s">
        <v>105</v>
      </c>
      <c r="B702" s="0" t="s">
        <v>15</v>
      </c>
      <c r="C702" s="0" t="n">
        <v>1924</v>
      </c>
      <c r="D702" s="0" t="n">
        <v>75</v>
      </c>
      <c r="E702" s="0" t="n">
        <v>16</v>
      </c>
      <c r="F702" s="0" t="n">
        <v>10</v>
      </c>
      <c r="G702" s="0" t="n">
        <v>7</v>
      </c>
      <c r="H702" s="0" t="n">
        <v>2</v>
      </c>
      <c r="I702" s="0" t="n">
        <v>27153.22</v>
      </c>
      <c r="J702" s="0" t="n">
        <v>3243.35</v>
      </c>
    </row>
    <row r="703" customFormat="false" ht="15" hidden="false" customHeight="false" outlineLevel="0" collapsed="false">
      <c r="A703" s="0" t="s">
        <v>105</v>
      </c>
      <c r="B703" s="0" t="s">
        <v>16</v>
      </c>
      <c r="C703" s="0" t="n">
        <v>8535</v>
      </c>
      <c r="D703" s="0" t="n">
        <v>498</v>
      </c>
      <c r="E703" s="0" t="n">
        <v>102</v>
      </c>
      <c r="F703" s="0" t="n">
        <v>57</v>
      </c>
      <c r="G703" s="0" t="n">
        <v>44</v>
      </c>
      <c r="H703" s="0" t="n">
        <v>16</v>
      </c>
      <c r="I703" s="0" t="n">
        <v>136264.29</v>
      </c>
      <c r="J703" s="0" t="n">
        <v>917.62</v>
      </c>
    </row>
    <row r="704" customFormat="false" ht="15" hidden="false" customHeight="false" outlineLevel="0" collapsed="false">
      <c r="A704" s="0" t="s">
        <v>105</v>
      </c>
      <c r="B704" s="0" t="s">
        <v>17</v>
      </c>
      <c r="C704" s="0" t="n">
        <v>3086</v>
      </c>
      <c r="D704" s="0" t="n">
        <v>383</v>
      </c>
      <c r="E704" s="0" t="n">
        <v>174</v>
      </c>
      <c r="F704" s="0" t="n">
        <v>116</v>
      </c>
      <c r="G704" s="0" t="n">
        <v>91</v>
      </c>
      <c r="H704" s="0" t="n">
        <v>44</v>
      </c>
      <c r="I704" s="0" t="n">
        <v>408324.61</v>
      </c>
      <c r="J704" s="0" t="n">
        <v>1011.51</v>
      </c>
    </row>
    <row r="705" customFormat="false" ht="15" hidden="false" customHeight="false" outlineLevel="0" collapsed="false">
      <c r="A705" s="0" t="s">
        <v>105</v>
      </c>
      <c r="B705" s="0" t="s">
        <v>18</v>
      </c>
      <c r="C705" s="0" t="n">
        <v>4540</v>
      </c>
      <c r="D705" s="0" t="n">
        <v>122</v>
      </c>
      <c r="E705" s="0" t="n">
        <v>22</v>
      </c>
      <c r="F705" s="0" t="n">
        <v>8</v>
      </c>
      <c r="G705" s="0" t="n">
        <v>5</v>
      </c>
      <c r="H705" s="0" t="n">
        <v>0</v>
      </c>
      <c r="I705" s="0" t="n">
        <v>0</v>
      </c>
      <c r="J705" s="0" t="n">
        <v>2143.11</v>
      </c>
    </row>
    <row r="706" customFormat="false" ht="15" hidden="false" customHeight="false" outlineLevel="0" collapsed="false">
      <c r="A706" s="0" t="s">
        <v>106</v>
      </c>
      <c r="B706" s="0" t="s">
        <v>11</v>
      </c>
      <c r="C706" s="0" t="n">
        <v>5177</v>
      </c>
      <c r="D706" s="0" t="n">
        <v>697</v>
      </c>
      <c r="E706" s="0" t="n">
        <v>258</v>
      </c>
      <c r="F706" s="0" t="n">
        <v>163</v>
      </c>
      <c r="G706" s="0" t="n">
        <v>123</v>
      </c>
      <c r="H706" s="0" t="n">
        <v>46</v>
      </c>
      <c r="I706" s="0" t="n">
        <v>256324.42</v>
      </c>
      <c r="J706" s="0" t="n">
        <v>3173.13</v>
      </c>
    </row>
    <row r="707" customFormat="false" ht="15" hidden="false" customHeight="false" outlineLevel="0" collapsed="false">
      <c r="A707" s="0" t="s">
        <v>106</v>
      </c>
      <c r="B707" s="0" t="s">
        <v>12</v>
      </c>
      <c r="C707" s="0" t="n">
        <v>12642</v>
      </c>
      <c r="D707" s="0" t="n">
        <v>345</v>
      </c>
      <c r="E707" s="0" t="n">
        <v>63</v>
      </c>
      <c r="F707" s="0" t="n">
        <v>28</v>
      </c>
      <c r="G707" s="0" t="n">
        <v>20</v>
      </c>
      <c r="H707" s="0" t="n">
        <v>4</v>
      </c>
      <c r="I707" s="0" t="n">
        <v>21881.83</v>
      </c>
      <c r="J707" s="0" t="n">
        <v>2824.26</v>
      </c>
    </row>
    <row r="708" customFormat="false" ht="15" hidden="false" customHeight="false" outlineLevel="0" collapsed="false">
      <c r="A708" s="0" t="s">
        <v>106</v>
      </c>
      <c r="B708" s="0" t="s">
        <v>13</v>
      </c>
      <c r="C708" s="0" t="n">
        <v>5836</v>
      </c>
      <c r="D708" s="0" t="n">
        <v>208</v>
      </c>
      <c r="E708" s="0" t="n">
        <v>45</v>
      </c>
      <c r="F708" s="0" t="n">
        <v>22</v>
      </c>
      <c r="G708" s="0" t="n">
        <v>17</v>
      </c>
      <c r="H708" s="0" t="n">
        <v>5</v>
      </c>
      <c r="I708" s="0" t="n">
        <v>25735.07</v>
      </c>
      <c r="J708" s="0" t="n">
        <v>2948.4</v>
      </c>
    </row>
    <row r="709" customFormat="false" ht="15" hidden="false" customHeight="false" outlineLevel="0" collapsed="false">
      <c r="A709" s="0" t="s">
        <v>106</v>
      </c>
      <c r="B709" s="0" t="s">
        <v>14</v>
      </c>
      <c r="C709" s="0" t="n">
        <v>11799</v>
      </c>
      <c r="D709" s="0" t="n">
        <v>251</v>
      </c>
      <c r="E709" s="0" t="n">
        <v>49</v>
      </c>
      <c r="F709" s="0" t="n">
        <v>23</v>
      </c>
      <c r="G709" s="0" t="n">
        <v>14</v>
      </c>
      <c r="H709" s="0" t="n">
        <v>3</v>
      </c>
      <c r="I709" s="0" t="n">
        <v>12179.14</v>
      </c>
      <c r="J709" s="0" t="n">
        <v>1978.58</v>
      </c>
    </row>
    <row r="710" customFormat="false" ht="15" hidden="false" customHeight="false" outlineLevel="0" collapsed="false">
      <c r="A710" s="0" t="s">
        <v>106</v>
      </c>
      <c r="B710" s="0" t="s">
        <v>15</v>
      </c>
      <c r="C710" s="0" t="n">
        <v>3999</v>
      </c>
      <c r="D710" s="0" t="n">
        <v>148</v>
      </c>
      <c r="E710" s="0" t="n">
        <v>40</v>
      </c>
      <c r="F710" s="0" t="n">
        <v>27</v>
      </c>
      <c r="G710" s="0" t="n">
        <v>20</v>
      </c>
      <c r="H710" s="0" t="n">
        <v>6</v>
      </c>
      <c r="I710" s="0" t="n">
        <v>77362.69</v>
      </c>
      <c r="J710" s="0" t="n">
        <v>6846.04</v>
      </c>
    </row>
    <row r="711" customFormat="false" ht="15" hidden="false" customHeight="false" outlineLevel="0" collapsed="false">
      <c r="A711" s="0" t="s">
        <v>106</v>
      </c>
      <c r="B711" s="0" t="s">
        <v>16</v>
      </c>
      <c r="C711" s="0" t="n">
        <v>9999</v>
      </c>
      <c r="D711" s="0" t="n">
        <v>525</v>
      </c>
      <c r="E711" s="0" t="n">
        <v>145</v>
      </c>
      <c r="F711" s="0" t="n">
        <v>72</v>
      </c>
      <c r="G711" s="0" t="n">
        <v>53</v>
      </c>
      <c r="H711" s="0" t="n">
        <v>19</v>
      </c>
      <c r="I711" s="0" t="n">
        <v>124025.75</v>
      </c>
      <c r="J711" s="0" t="n">
        <v>1272.83</v>
      </c>
    </row>
    <row r="712" customFormat="false" ht="15" hidden="false" customHeight="false" outlineLevel="0" collapsed="false">
      <c r="A712" s="0" t="s">
        <v>106</v>
      </c>
      <c r="B712" s="0" t="s">
        <v>17</v>
      </c>
      <c r="C712" s="0" t="n">
        <v>1450</v>
      </c>
      <c r="D712" s="0" t="n">
        <v>216</v>
      </c>
      <c r="E712" s="0" t="n">
        <v>106</v>
      </c>
      <c r="F712" s="0" t="n">
        <v>71</v>
      </c>
      <c r="G712" s="0" t="n">
        <v>56</v>
      </c>
      <c r="H712" s="0" t="n">
        <v>26</v>
      </c>
      <c r="I712" s="0" t="n">
        <v>253119.24</v>
      </c>
      <c r="J712" s="0" t="n">
        <v>432.27</v>
      </c>
    </row>
    <row r="713" customFormat="false" ht="15" hidden="false" customHeight="false" outlineLevel="0" collapsed="false">
      <c r="A713" s="0" t="s">
        <v>106</v>
      </c>
      <c r="B713" s="0" t="s">
        <v>18</v>
      </c>
      <c r="C713" s="0" t="n">
        <v>5122</v>
      </c>
      <c r="D713" s="0" t="n">
        <v>117</v>
      </c>
      <c r="E713" s="0" t="n">
        <v>19</v>
      </c>
      <c r="F713" s="0" t="n">
        <v>7</v>
      </c>
      <c r="G713" s="0" t="n">
        <v>4</v>
      </c>
      <c r="H713" s="0" t="n">
        <v>0</v>
      </c>
      <c r="I713" s="0" t="n">
        <v>0</v>
      </c>
      <c r="J713" s="0" t="n">
        <v>2053.15</v>
      </c>
    </row>
    <row r="714" customFormat="false" ht="15" hidden="false" customHeight="false" outlineLevel="0" collapsed="false">
      <c r="A714" s="0" t="s">
        <v>107</v>
      </c>
      <c r="B714" s="0" t="s">
        <v>11</v>
      </c>
      <c r="C714" s="0" t="n">
        <v>3834</v>
      </c>
      <c r="D714" s="0" t="n">
        <v>554</v>
      </c>
      <c r="E714" s="0" t="n">
        <v>211</v>
      </c>
      <c r="F714" s="0" t="n">
        <v>123</v>
      </c>
      <c r="G714" s="0" t="n">
        <v>100</v>
      </c>
      <c r="H714" s="0" t="n">
        <v>35</v>
      </c>
      <c r="I714" s="0" t="n">
        <v>222786.98</v>
      </c>
      <c r="J714" s="0" t="n">
        <v>2233.38</v>
      </c>
    </row>
    <row r="715" customFormat="false" ht="15" hidden="false" customHeight="false" outlineLevel="0" collapsed="false">
      <c r="A715" s="0" t="s">
        <v>107</v>
      </c>
      <c r="B715" s="0" t="s">
        <v>12</v>
      </c>
      <c r="C715" s="0" t="n">
        <v>18983</v>
      </c>
      <c r="D715" s="0" t="n">
        <v>360</v>
      </c>
      <c r="E715" s="0" t="n">
        <v>86</v>
      </c>
      <c r="F715" s="0" t="n">
        <v>35</v>
      </c>
      <c r="G715" s="0" t="n">
        <v>26</v>
      </c>
      <c r="H715" s="0" t="n">
        <v>7</v>
      </c>
      <c r="I715" s="0" t="n">
        <v>41556.58</v>
      </c>
      <c r="J715" s="0" t="n">
        <v>3305.25</v>
      </c>
    </row>
    <row r="716" customFormat="false" ht="15" hidden="false" customHeight="false" outlineLevel="0" collapsed="false">
      <c r="A716" s="0" t="s">
        <v>107</v>
      </c>
      <c r="B716" s="0" t="s">
        <v>13</v>
      </c>
      <c r="C716" s="0" t="n">
        <v>9479</v>
      </c>
      <c r="D716" s="0" t="n">
        <v>399</v>
      </c>
      <c r="E716" s="0" t="n">
        <v>119</v>
      </c>
      <c r="F716" s="0" t="n">
        <v>64</v>
      </c>
      <c r="G716" s="0" t="n">
        <v>47</v>
      </c>
      <c r="H716" s="0" t="n">
        <v>13</v>
      </c>
      <c r="I716" s="0" t="n">
        <v>74840.59</v>
      </c>
      <c r="J716" s="0" t="n">
        <v>7838.73</v>
      </c>
    </row>
    <row r="717" customFormat="false" ht="15" hidden="false" customHeight="false" outlineLevel="0" collapsed="false">
      <c r="A717" s="0" t="s">
        <v>107</v>
      </c>
      <c r="B717" s="0" t="s">
        <v>14</v>
      </c>
      <c r="C717" s="0" t="n">
        <v>11981</v>
      </c>
      <c r="D717" s="0" t="n">
        <v>325</v>
      </c>
      <c r="E717" s="0" t="n">
        <v>62</v>
      </c>
      <c r="F717" s="0" t="n">
        <v>26</v>
      </c>
      <c r="G717" s="0" t="n">
        <v>16</v>
      </c>
      <c r="H717" s="0" t="n">
        <v>3</v>
      </c>
      <c r="I717" s="0" t="n">
        <v>12263.21</v>
      </c>
      <c r="J717" s="0" t="n">
        <v>2486.61</v>
      </c>
    </row>
    <row r="718" customFormat="false" ht="15" hidden="false" customHeight="false" outlineLevel="0" collapsed="false">
      <c r="A718" s="0" t="s">
        <v>107</v>
      </c>
      <c r="B718" s="0" t="s">
        <v>15</v>
      </c>
      <c r="C718" s="0" t="n">
        <v>2418</v>
      </c>
      <c r="D718" s="0" t="n">
        <v>68</v>
      </c>
      <c r="E718" s="0" t="n">
        <v>17</v>
      </c>
      <c r="F718" s="0" t="n">
        <v>10</v>
      </c>
      <c r="G718" s="0" t="n">
        <v>7</v>
      </c>
      <c r="H718" s="0" t="n">
        <v>2</v>
      </c>
      <c r="I718" s="0" t="n">
        <v>20976.1</v>
      </c>
      <c r="J718" s="0" t="n">
        <v>2308.17</v>
      </c>
    </row>
    <row r="719" customFormat="false" ht="15" hidden="false" customHeight="false" outlineLevel="0" collapsed="false">
      <c r="A719" s="0" t="s">
        <v>107</v>
      </c>
      <c r="B719" s="0" t="s">
        <v>16</v>
      </c>
      <c r="C719" s="0" t="n">
        <v>11658</v>
      </c>
      <c r="D719" s="0" t="n">
        <v>590</v>
      </c>
      <c r="E719" s="0" t="n">
        <v>119</v>
      </c>
      <c r="F719" s="0" t="n">
        <v>64</v>
      </c>
      <c r="G719" s="0" t="n">
        <v>50</v>
      </c>
      <c r="H719" s="0" t="n">
        <v>20</v>
      </c>
      <c r="I719" s="0" t="n">
        <v>179497.46</v>
      </c>
      <c r="J719" s="0" t="n">
        <v>1572.22</v>
      </c>
    </row>
    <row r="720" customFormat="false" ht="15" hidden="false" customHeight="false" outlineLevel="0" collapsed="false">
      <c r="A720" s="0" t="s">
        <v>107</v>
      </c>
      <c r="B720" s="0" t="s">
        <v>17</v>
      </c>
      <c r="C720" s="0" t="n">
        <v>1490</v>
      </c>
      <c r="D720" s="0" t="n">
        <v>252</v>
      </c>
      <c r="E720" s="0" t="n">
        <v>117</v>
      </c>
      <c r="F720" s="0" t="n">
        <v>87</v>
      </c>
      <c r="G720" s="0" t="n">
        <v>76</v>
      </c>
      <c r="H720" s="0" t="n">
        <v>35</v>
      </c>
      <c r="I720" s="0" t="n">
        <v>328848.36</v>
      </c>
      <c r="J720" s="0" t="n">
        <v>374.78</v>
      </c>
    </row>
    <row r="721" customFormat="false" ht="15" hidden="false" customHeight="false" outlineLevel="0" collapsed="false">
      <c r="A721" s="0" t="s">
        <v>107</v>
      </c>
      <c r="B721" s="0" t="s">
        <v>18</v>
      </c>
      <c r="C721" s="0" t="n">
        <v>5749</v>
      </c>
      <c r="D721" s="0" t="n">
        <v>147</v>
      </c>
      <c r="E721" s="0" t="n">
        <v>31</v>
      </c>
      <c r="F721" s="0" t="n">
        <v>12</v>
      </c>
      <c r="G721" s="0" t="n">
        <v>8</v>
      </c>
      <c r="H721" s="0" t="n">
        <v>1</v>
      </c>
      <c r="I721" s="0" t="n">
        <v>4620.74</v>
      </c>
      <c r="J721" s="0" t="n">
        <v>2113.51</v>
      </c>
    </row>
    <row r="722" customFormat="false" ht="15" hidden="false" customHeight="false" outlineLevel="0" collapsed="false">
      <c r="A722" s="0" t="s">
        <v>108</v>
      </c>
      <c r="B722" s="0" t="s">
        <v>11</v>
      </c>
      <c r="C722" s="0" t="n">
        <v>7827</v>
      </c>
      <c r="D722" s="0" t="n">
        <v>1127</v>
      </c>
      <c r="E722" s="0" t="n">
        <v>394</v>
      </c>
      <c r="F722" s="0" t="n">
        <v>248</v>
      </c>
      <c r="G722" s="0" t="n">
        <v>189</v>
      </c>
      <c r="H722" s="0" t="n">
        <v>75</v>
      </c>
      <c r="I722" s="0" t="n">
        <v>399559.34</v>
      </c>
      <c r="J722" s="0" t="n">
        <v>5514.48</v>
      </c>
    </row>
    <row r="723" customFormat="false" ht="15" hidden="false" customHeight="false" outlineLevel="0" collapsed="false">
      <c r="A723" s="0" t="s">
        <v>108</v>
      </c>
      <c r="B723" s="0" t="s">
        <v>12</v>
      </c>
      <c r="C723" s="0" t="n">
        <v>11215</v>
      </c>
      <c r="D723" s="0" t="n">
        <v>321</v>
      </c>
      <c r="E723" s="0" t="n">
        <v>68</v>
      </c>
      <c r="F723" s="0" t="n">
        <v>34</v>
      </c>
      <c r="G723" s="0" t="n">
        <v>23</v>
      </c>
      <c r="H723" s="0" t="n">
        <v>6</v>
      </c>
      <c r="I723" s="0" t="n">
        <v>28503.86</v>
      </c>
      <c r="J723" s="0" t="n">
        <v>2631.19</v>
      </c>
    </row>
    <row r="724" customFormat="false" ht="15" hidden="false" customHeight="false" outlineLevel="0" collapsed="false">
      <c r="A724" s="0" t="s">
        <v>108</v>
      </c>
      <c r="B724" s="0" t="s">
        <v>13</v>
      </c>
      <c r="C724" s="0" t="n">
        <v>12621</v>
      </c>
      <c r="D724" s="0" t="n">
        <v>733</v>
      </c>
      <c r="E724" s="0" t="n">
        <v>215</v>
      </c>
      <c r="F724" s="0" t="n">
        <v>113</v>
      </c>
      <c r="G724" s="0" t="n">
        <v>93</v>
      </c>
      <c r="H724" s="0" t="n">
        <v>30</v>
      </c>
      <c r="I724" s="0" t="n">
        <v>156055.62</v>
      </c>
      <c r="J724" s="0" t="n">
        <v>12115.3</v>
      </c>
    </row>
    <row r="725" customFormat="false" ht="15" hidden="false" customHeight="false" outlineLevel="0" collapsed="false">
      <c r="A725" s="0" t="s">
        <v>108</v>
      </c>
      <c r="B725" s="0" t="s">
        <v>14</v>
      </c>
      <c r="C725" s="0" t="n">
        <v>13894</v>
      </c>
      <c r="D725" s="0" t="n">
        <v>199</v>
      </c>
      <c r="E725" s="0" t="n">
        <v>40</v>
      </c>
      <c r="F725" s="0" t="n">
        <v>16</v>
      </c>
      <c r="G725" s="0" t="n">
        <v>11</v>
      </c>
      <c r="H725" s="0" t="n">
        <v>2</v>
      </c>
      <c r="I725" s="0" t="n">
        <v>8029.8</v>
      </c>
      <c r="J725" s="0" t="n">
        <v>2223.29</v>
      </c>
    </row>
    <row r="726" customFormat="false" ht="15" hidden="false" customHeight="false" outlineLevel="0" collapsed="false">
      <c r="A726" s="0" t="s">
        <v>108</v>
      </c>
      <c r="B726" s="0" t="s">
        <v>15</v>
      </c>
      <c r="C726" s="0" t="n">
        <v>2067</v>
      </c>
      <c r="D726" s="0" t="n">
        <v>78</v>
      </c>
      <c r="E726" s="0" t="n">
        <v>16</v>
      </c>
      <c r="F726" s="0" t="n">
        <v>11</v>
      </c>
      <c r="G726" s="0" t="n">
        <v>9</v>
      </c>
      <c r="H726" s="0" t="n">
        <v>2</v>
      </c>
      <c r="I726" s="0" t="n">
        <v>26628.6</v>
      </c>
      <c r="J726" s="0" t="n">
        <v>2753.67</v>
      </c>
    </row>
    <row r="727" customFormat="false" ht="15" hidden="false" customHeight="false" outlineLevel="0" collapsed="false">
      <c r="A727" s="0" t="s">
        <v>108</v>
      </c>
      <c r="B727" s="0" t="s">
        <v>16</v>
      </c>
      <c r="C727" s="0" t="n">
        <v>8694</v>
      </c>
      <c r="D727" s="0" t="n">
        <v>382</v>
      </c>
      <c r="E727" s="0" t="n">
        <v>84</v>
      </c>
      <c r="F727" s="0" t="n">
        <v>48</v>
      </c>
      <c r="G727" s="0" t="n">
        <v>34</v>
      </c>
      <c r="H727" s="0" t="n">
        <v>12</v>
      </c>
      <c r="I727" s="0" t="n">
        <v>107329.8</v>
      </c>
      <c r="J727" s="0" t="n">
        <v>643.46</v>
      </c>
    </row>
    <row r="728" customFormat="false" ht="15" hidden="false" customHeight="false" outlineLevel="0" collapsed="false">
      <c r="A728" s="0" t="s">
        <v>108</v>
      </c>
      <c r="B728" s="0" t="s">
        <v>17</v>
      </c>
      <c r="C728" s="0" t="n">
        <v>2889</v>
      </c>
      <c r="D728" s="0" t="n">
        <v>409</v>
      </c>
      <c r="E728" s="0" t="n">
        <v>170</v>
      </c>
      <c r="F728" s="0" t="n">
        <v>127</v>
      </c>
      <c r="G728" s="0" t="n">
        <v>109</v>
      </c>
      <c r="H728" s="0" t="n">
        <v>46</v>
      </c>
      <c r="I728" s="0" t="n">
        <v>329814.33</v>
      </c>
      <c r="J728" s="0" t="n">
        <v>466.32</v>
      </c>
    </row>
    <row r="729" customFormat="false" ht="15" hidden="false" customHeight="false" outlineLevel="0" collapsed="false">
      <c r="A729" s="0" t="s">
        <v>108</v>
      </c>
      <c r="B729" s="0" t="s">
        <v>18</v>
      </c>
      <c r="C729" s="0" t="n">
        <v>5842</v>
      </c>
      <c r="D729" s="0" t="n">
        <v>126</v>
      </c>
      <c r="E729" s="0" t="n">
        <v>27</v>
      </c>
      <c r="F729" s="0" t="n">
        <v>11</v>
      </c>
      <c r="G729" s="0" t="n">
        <v>7</v>
      </c>
      <c r="H729" s="0" t="n">
        <v>1</v>
      </c>
      <c r="I729" s="0" t="n">
        <v>5463.75</v>
      </c>
      <c r="J729" s="0" t="n">
        <v>2152.82</v>
      </c>
    </row>
    <row r="730" customFormat="false" ht="15" hidden="false" customHeight="false" outlineLevel="0" collapsed="false">
      <c r="A730" s="0" t="s">
        <v>109</v>
      </c>
      <c r="B730" s="0" t="s">
        <v>11</v>
      </c>
      <c r="C730" s="0" t="n">
        <v>3719</v>
      </c>
      <c r="D730" s="0" t="n">
        <v>299</v>
      </c>
      <c r="E730" s="0" t="n">
        <v>90</v>
      </c>
      <c r="F730" s="0" t="n">
        <v>54</v>
      </c>
      <c r="G730" s="0" t="n">
        <v>42</v>
      </c>
      <c r="H730" s="0" t="n">
        <v>14</v>
      </c>
      <c r="I730" s="0" t="n">
        <v>81835.23</v>
      </c>
      <c r="J730" s="0" t="n">
        <v>604.69</v>
      </c>
    </row>
    <row r="731" customFormat="false" ht="15" hidden="false" customHeight="false" outlineLevel="0" collapsed="false">
      <c r="A731" s="0" t="s">
        <v>109</v>
      </c>
      <c r="B731" s="0" t="s">
        <v>12</v>
      </c>
      <c r="C731" s="0" t="n">
        <v>17792</v>
      </c>
      <c r="D731" s="0" t="n">
        <v>382</v>
      </c>
      <c r="E731" s="0" t="n">
        <v>87</v>
      </c>
      <c r="F731" s="0" t="n">
        <v>42</v>
      </c>
      <c r="G731" s="0" t="n">
        <v>32</v>
      </c>
      <c r="H731" s="0" t="n">
        <v>7</v>
      </c>
      <c r="I731" s="0" t="n">
        <v>36820.26</v>
      </c>
      <c r="J731" s="0" t="n">
        <v>4671.91</v>
      </c>
    </row>
    <row r="732" customFormat="false" ht="15" hidden="false" customHeight="false" outlineLevel="0" collapsed="false">
      <c r="A732" s="0" t="s">
        <v>109</v>
      </c>
      <c r="B732" s="0" t="s">
        <v>13</v>
      </c>
      <c r="C732" s="0" t="n">
        <v>6739</v>
      </c>
      <c r="D732" s="0" t="n">
        <v>275</v>
      </c>
      <c r="E732" s="0" t="n">
        <v>72</v>
      </c>
      <c r="F732" s="0" t="n">
        <v>36</v>
      </c>
      <c r="G732" s="0" t="n">
        <v>27</v>
      </c>
      <c r="H732" s="0" t="n">
        <v>8</v>
      </c>
      <c r="I732" s="0" t="n">
        <v>51388.81</v>
      </c>
      <c r="J732" s="0" t="n">
        <v>6589.62</v>
      </c>
    </row>
    <row r="733" customFormat="false" ht="15" hidden="false" customHeight="false" outlineLevel="0" collapsed="false">
      <c r="A733" s="0" t="s">
        <v>109</v>
      </c>
      <c r="B733" s="0" t="s">
        <v>14</v>
      </c>
      <c r="C733" s="0" t="n">
        <v>11591</v>
      </c>
      <c r="D733" s="0" t="n">
        <v>165</v>
      </c>
      <c r="E733" s="0" t="n">
        <v>22</v>
      </c>
      <c r="F733" s="0" t="n">
        <v>8</v>
      </c>
      <c r="G733" s="0" t="n">
        <v>6</v>
      </c>
      <c r="H733" s="0" t="n">
        <v>1</v>
      </c>
      <c r="I733" s="0" t="n">
        <v>5272.07</v>
      </c>
      <c r="J733" s="0" t="n">
        <v>1399.29</v>
      </c>
    </row>
    <row r="734" customFormat="false" ht="15" hidden="false" customHeight="false" outlineLevel="0" collapsed="false">
      <c r="A734" s="0" t="s">
        <v>109</v>
      </c>
      <c r="B734" s="0" t="s">
        <v>15</v>
      </c>
      <c r="C734" s="0" t="n">
        <v>3280</v>
      </c>
      <c r="D734" s="0" t="n">
        <v>98</v>
      </c>
      <c r="E734" s="0" t="n">
        <v>19</v>
      </c>
      <c r="F734" s="0" t="n">
        <v>14</v>
      </c>
      <c r="G734" s="0" t="n">
        <v>11</v>
      </c>
      <c r="H734" s="0" t="n">
        <v>4</v>
      </c>
      <c r="I734" s="0" t="n">
        <v>55247.22</v>
      </c>
      <c r="J734" s="0" t="n">
        <v>3737.28</v>
      </c>
    </row>
    <row r="735" customFormat="false" ht="15" hidden="false" customHeight="false" outlineLevel="0" collapsed="false">
      <c r="A735" s="0" t="s">
        <v>109</v>
      </c>
      <c r="B735" s="0" t="s">
        <v>16</v>
      </c>
      <c r="C735" s="0" t="n">
        <v>12462</v>
      </c>
      <c r="D735" s="0" t="n">
        <v>719</v>
      </c>
      <c r="E735" s="0" t="n">
        <v>185</v>
      </c>
      <c r="F735" s="0" t="n">
        <v>96</v>
      </c>
      <c r="G735" s="0" t="n">
        <v>74</v>
      </c>
      <c r="H735" s="0" t="n">
        <v>30</v>
      </c>
      <c r="I735" s="0" t="n">
        <v>201304.84</v>
      </c>
      <c r="J735" s="0" t="n">
        <v>1022.08</v>
      </c>
    </row>
    <row r="736" customFormat="false" ht="15" hidden="false" customHeight="false" outlineLevel="0" collapsed="false">
      <c r="A736" s="0" t="s">
        <v>109</v>
      </c>
      <c r="B736" s="0" t="s">
        <v>17</v>
      </c>
      <c r="C736" s="0" t="n">
        <v>2884</v>
      </c>
      <c r="D736" s="0" t="n">
        <v>527</v>
      </c>
      <c r="E736" s="0" t="n">
        <v>232</v>
      </c>
      <c r="F736" s="0" t="n">
        <v>156</v>
      </c>
      <c r="G736" s="0" t="n">
        <v>135</v>
      </c>
      <c r="H736" s="0" t="n">
        <v>63</v>
      </c>
      <c r="I736" s="0" t="n">
        <v>533213.14</v>
      </c>
      <c r="J736" s="0" t="n">
        <v>999.28</v>
      </c>
    </row>
    <row r="737" customFormat="false" ht="15" hidden="false" customHeight="false" outlineLevel="0" collapsed="false">
      <c r="A737" s="0" t="s">
        <v>109</v>
      </c>
      <c r="B737" s="0" t="s">
        <v>18</v>
      </c>
      <c r="C737" s="0" t="n">
        <v>6429</v>
      </c>
      <c r="D737" s="0" t="n">
        <v>144</v>
      </c>
      <c r="E737" s="0" t="n">
        <v>25</v>
      </c>
      <c r="F737" s="0" t="n">
        <v>12</v>
      </c>
      <c r="G737" s="0" t="n">
        <v>8</v>
      </c>
      <c r="H737" s="0" t="n">
        <v>1</v>
      </c>
      <c r="I737" s="0" t="n">
        <v>5833.51</v>
      </c>
      <c r="J737" s="0" t="n">
        <v>2254.83</v>
      </c>
    </row>
    <row r="738" customFormat="false" ht="15" hidden="false" customHeight="false" outlineLevel="0" collapsed="false">
      <c r="A738" s="0" t="s">
        <v>110</v>
      </c>
      <c r="B738" s="0" t="s">
        <v>11</v>
      </c>
      <c r="C738" s="0" t="n">
        <v>3547</v>
      </c>
      <c r="D738" s="0" t="n">
        <v>523</v>
      </c>
      <c r="E738" s="0" t="n">
        <v>166</v>
      </c>
      <c r="F738" s="0" t="n">
        <v>102</v>
      </c>
      <c r="G738" s="0" t="n">
        <v>79</v>
      </c>
      <c r="H738" s="0" t="n">
        <v>29</v>
      </c>
      <c r="I738" s="0" t="n">
        <v>184058.34</v>
      </c>
      <c r="J738" s="0" t="n">
        <v>2264.83</v>
      </c>
    </row>
    <row r="739" customFormat="false" ht="15" hidden="false" customHeight="false" outlineLevel="0" collapsed="false">
      <c r="A739" s="0" t="s">
        <v>110</v>
      </c>
      <c r="B739" s="0" t="s">
        <v>12</v>
      </c>
      <c r="C739" s="0" t="n">
        <v>18978</v>
      </c>
      <c r="D739" s="0" t="n">
        <v>380</v>
      </c>
      <c r="E739" s="0" t="n">
        <v>93</v>
      </c>
      <c r="F739" s="0" t="n">
        <v>44</v>
      </c>
      <c r="G739" s="0" t="n">
        <v>32</v>
      </c>
      <c r="H739" s="0" t="n">
        <v>8</v>
      </c>
      <c r="I739" s="0" t="n">
        <v>38013.14</v>
      </c>
      <c r="J739" s="0" t="n">
        <v>3384.15</v>
      </c>
    </row>
    <row r="740" customFormat="false" ht="15" hidden="false" customHeight="false" outlineLevel="0" collapsed="false">
      <c r="A740" s="0" t="s">
        <v>110</v>
      </c>
      <c r="B740" s="0" t="s">
        <v>13</v>
      </c>
      <c r="C740" s="0" t="n">
        <v>13008</v>
      </c>
      <c r="D740" s="0" t="n">
        <v>566</v>
      </c>
      <c r="E740" s="0" t="n">
        <v>153</v>
      </c>
      <c r="F740" s="0" t="n">
        <v>89</v>
      </c>
      <c r="G740" s="0" t="n">
        <v>68</v>
      </c>
      <c r="H740" s="0" t="n">
        <v>18</v>
      </c>
      <c r="I740" s="0" t="n">
        <v>103274.2</v>
      </c>
      <c r="J740" s="0" t="n">
        <v>10549.88</v>
      </c>
    </row>
    <row r="741" customFormat="false" ht="15" hidden="false" customHeight="false" outlineLevel="0" collapsed="false">
      <c r="A741" s="0" t="s">
        <v>110</v>
      </c>
      <c r="B741" s="0" t="s">
        <v>14</v>
      </c>
      <c r="C741" s="0" t="n">
        <v>8090</v>
      </c>
      <c r="D741" s="0" t="n">
        <v>177</v>
      </c>
      <c r="E741" s="0" t="n">
        <v>30</v>
      </c>
      <c r="F741" s="0" t="n">
        <v>14</v>
      </c>
      <c r="G741" s="0" t="n">
        <v>8</v>
      </c>
      <c r="H741" s="0" t="n">
        <v>1</v>
      </c>
      <c r="I741" s="0" t="n">
        <v>5653.17</v>
      </c>
      <c r="J741" s="0" t="n">
        <v>1742.45</v>
      </c>
    </row>
    <row r="742" customFormat="false" ht="15" hidden="false" customHeight="false" outlineLevel="0" collapsed="false">
      <c r="A742" s="0" t="s">
        <v>110</v>
      </c>
      <c r="B742" s="0" t="s">
        <v>15</v>
      </c>
      <c r="C742" s="0" t="n">
        <v>4841</v>
      </c>
      <c r="D742" s="0" t="n">
        <v>137</v>
      </c>
      <c r="E742" s="0" t="n">
        <v>31</v>
      </c>
      <c r="F742" s="0" t="n">
        <v>18</v>
      </c>
      <c r="G742" s="0" t="n">
        <v>15</v>
      </c>
      <c r="H742" s="0" t="n">
        <v>5</v>
      </c>
      <c r="I742" s="0" t="n">
        <v>64645.21</v>
      </c>
      <c r="J742" s="0" t="n">
        <v>4892.01</v>
      </c>
    </row>
    <row r="743" customFormat="false" ht="15" hidden="false" customHeight="false" outlineLevel="0" collapsed="false">
      <c r="A743" s="0" t="s">
        <v>110</v>
      </c>
      <c r="B743" s="0" t="s">
        <v>16</v>
      </c>
      <c r="C743" s="0" t="n">
        <v>11530</v>
      </c>
      <c r="D743" s="0" t="n">
        <v>872</v>
      </c>
      <c r="E743" s="0" t="n">
        <v>179</v>
      </c>
      <c r="F743" s="0" t="n">
        <v>95</v>
      </c>
      <c r="G743" s="0" t="n">
        <v>67</v>
      </c>
      <c r="H743" s="0" t="n">
        <v>30</v>
      </c>
      <c r="I743" s="0" t="n">
        <v>245935.14</v>
      </c>
      <c r="J743" s="0" t="n">
        <v>1551.1</v>
      </c>
    </row>
    <row r="744" customFormat="false" ht="15" hidden="false" customHeight="false" outlineLevel="0" collapsed="false">
      <c r="A744" s="0" t="s">
        <v>110</v>
      </c>
      <c r="B744" s="0" t="s">
        <v>17</v>
      </c>
      <c r="C744" s="0" t="n">
        <v>3054</v>
      </c>
      <c r="D744" s="0" t="n">
        <v>370</v>
      </c>
      <c r="E744" s="0" t="n">
        <v>156</v>
      </c>
      <c r="F744" s="0" t="n">
        <v>105</v>
      </c>
      <c r="G744" s="0" t="n">
        <v>86</v>
      </c>
      <c r="H744" s="0" t="n">
        <v>36</v>
      </c>
      <c r="I744" s="0" t="n">
        <v>346974.45</v>
      </c>
      <c r="J744" s="0" t="n">
        <v>384.54</v>
      </c>
    </row>
    <row r="745" customFormat="false" ht="15" hidden="false" customHeight="false" outlineLevel="0" collapsed="false">
      <c r="A745" s="0" t="s">
        <v>110</v>
      </c>
      <c r="B745" s="0" t="s">
        <v>18</v>
      </c>
      <c r="C745" s="0" t="n">
        <v>11759</v>
      </c>
      <c r="D745" s="0" t="n">
        <v>197</v>
      </c>
      <c r="E745" s="0" t="n">
        <v>34</v>
      </c>
      <c r="F745" s="0" t="n">
        <v>11</v>
      </c>
      <c r="G745" s="0" t="n">
        <v>7</v>
      </c>
      <c r="H745" s="0" t="n">
        <v>1</v>
      </c>
      <c r="I745" s="0" t="n">
        <v>4319.33</v>
      </c>
      <c r="J745" s="0" t="n">
        <v>2258.82</v>
      </c>
    </row>
    <row r="746" customFormat="false" ht="15" hidden="false" customHeight="false" outlineLevel="0" collapsed="false">
      <c r="A746" s="0" t="s">
        <v>111</v>
      </c>
      <c r="B746" s="0" t="s">
        <v>11</v>
      </c>
      <c r="C746" s="0" t="n">
        <v>3715</v>
      </c>
      <c r="D746" s="0" t="n">
        <v>300</v>
      </c>
      <c r="E746" s="0" t="n">
        <v>107</v>
      </c>
      <c r="F746" s="0" t="n">
        <v>68</v>
      </c>
      <c r="G746" s="0" t="n">
        <v>55</v>
      </c>
      <c r="H746" s="0" t="n">
        <v>21</v>
      </c>
      <c r="I746" s="0" t="n">
        <v>127764.64</v>
      </c>
      <c r="J746" s="0" t="n">
        <v>611.95</v>
      </c>
    </row>
    <row r="747" customFormat="false" ht="15" hidden="false" customHeight="false" outlineLevel="0" collapsed="false">
      <c r="A747" s="0" t="s">
        <v>111</v>
      </c>
      <c r="B747" s="0" t="s">
        <v>12</v>
      </c>
      <c r="C747" s="0" t="n">
        <v>12804</v>
      </c>
      <c r="D747" s="0" t="n">
        <v>373</v>
      </c>
      <c r="E747" s="0" t="n">
        <v>71</v>
      </c>
      <c r="F747" s="0" t="n">
        <v>36</v>
      </c>
      <c r="G747" s="0" t="n">
        <v>26</v>
      </c>
      <c r="H747" s="0" t="n">
        <v>7</v>
      </c>
      <c r="I747" s="0" t="n">
        <v>29223.84</v>
      </c>
      <c r="J747" s="0" t="n">
        <v>5354.16</v>
      </c>
    </row>
    <row r="748" customFormat="false" ht="15" hidden="false" customHeight="false" outlineLevel="0" collapsed="false">
      <c r="A748" s="0" t="s">
        <v>111</v>
      </c>
      <c r="B748" s="0" t="s">
        <v>13</v>
      </c>
      <c r="C748" s="0" t="n">
        <v>12900</v>
      </c>
      <c r="D748" s="0" t="n">
        <v>625</v>
      </c>
      <c r="E748" s="0" t="n">
        <v>127</v>
      </c>
      <c r="F748" s="0" t="n">
        <v>75</v>
      </c>
      <c r="G748" s="0" t="n">
        <v>55</v>
      </c>
      <c r="H748" s="0" t="n">
        <v>15</v>
      </c>
      <c r="I748" s="0" t="n">
        <v>111492.08</v>
      </c>
      <c r="J748" s="0" t="n">
        <v>13560.82</v>
      </c>
    </row>
    <row r="749" customFormat="false" ht="15" hidden="false" customHeight="false" outlineLevel="0" collapsed="false">
      <c r="A749" s="0" t="s">
        <v>111</v>
      </c>
      <c r="B749" s="0" t="s">
        <v>14</v>
      </c>
      <c r="C749" s="0" t="n">
        <v>17301</v>
      </c>
      <c r="D749" s="0" t="n">
        <v>436</v>
      </c>
      <c r="E749" s="0" t="n">
        <v>87</v>
      </c>
      <c r="F749" s="0" t="n">
        <v>35</v>
      </c>
      <c r="G749" s="0" t="n">
        <v>26</v>
      </c>
      <c r="H749" s="0" t="n">
        <v>6</v>
      </c>
      <c r="I749" s="0" t="n">
        <v>34227.12</v>
      </c>
      <c r="J749" s="0" t="n">
        <v>3934.49</v>
      </c>
    </row>
    <row r="750" customFormat="false" ht="15" hidden="false" customHeight="false" outlineLevel="0" collapsed="false">
      <c r="A750" s="0" t="s">
        <v>111</v>
      </c>
      <c r="B750" s="0" t="s">
        <v>15</v>
      </c>
      <c r="C750" s="0" t="n">
        <v>2199</v>
      </c>
      <c r="D750" s="0" t="n">
        <v>50</v>
      </c>
      <c r="E750" s="0" t="n">
        <v>11</v>
      </c>
      <c r="F750" s="0" t="n">
        <v>7</v>
      </c>
      <c r="G750" s="0" t="n">
        <v>5</v>
      </c>
      <c r="H750" s="0" t="n">
        <v>1</v>
      </c>
      <c r="I750" s="0" t="n">
        <v>10222.94</v>
      </c>
      <c r="J750" s="0" t="n">
        <v>2460.37</v>
      </c>
    </row>
    <row r="751" customFormat="false" ht="15" hidden="false" customHeight="false" outlineLevel="0" collapsed="false">
      <c r="A751" s="0" t="s">
        <v>111</v>
      </c>
      <c r="B751" s="0" t="s">
        <v>16</v>
      </c>
      <c r="C751" s="0" t="n">
        <v>10136</v>
      </c>
      <c r="D751" s="0" t="n">
        <v>607</v>
      </c>
      <c r="E751" s="0" t="n">
        <v>124</v>
      </c>
      <c r="F751" s="0" t="n">
        <v>70</v>
      </c>
      <c r="G751" s="0" t="n">
        <v>51</v>
      </c>
      <c r="H751" s="0" t="n">
        <v>21</v>
      </c>
      <c r="I751" s="0" t="n">
        <v>135411.04</v>
      </c>
      <c r="J751" s="0" t="n">
        <v>1196.14</v>
      </c>
    </row>
    <row r="752" customFormat="false" ht="15" hidden="false" customHeight="false" outlineLevel="0" collapsed="false">
      <c r="A752" s="0" t="s">
        <v>111</v>
      </c>
      <c r="B752" s="0" t="s">
        <v>17</v>
      </c>
      <c r="C752" s="0" t="n">
        <v>2944</v>
      </c>
      <c r="D752" s="0" t="n">
        <v>345</v>
      </c>
      <c r="E752" s="0" t="n">
        <v>168</v>
      </c>
      <c r="F752" s="0" t="n">
        <v>119</v>
      </c>
      <c r="G752" s="0" t="n">
        <v>94</v>
      </c>
      <c r="H752" s="0" t="n">
        <v>46</v>
      </c>
      <c r="I752" s="0" t="n">
        <v>332059.99</v>
      </c>
      <c r="J752" s="0" t="n">
        <v>702.67</v>
      </c>
    </row>
    <row r="753" customFormat="false" ht="15" hidden="false" customHeight="false" outlineLevel="0" collapsed="false">
      <c r="A753" s="0" t="s">
        <v>111</v>
      </c>
      <c r="B753" s="0" t="s">
        <v>18</v>
      </c>
      <c r="C753" s="0" t="n">
        <v>9387</v>
      </c>
      <c r="D753" s="0" t="n">
        <v>141</v>
      </c>
      <c r="E753" s="0" t="n">
        <v>29</v>
      </c>
      <c r="F753" s="0" t="n">
        <v>13</v>
      </c>
      <c r="G753" s="0" t="n">
        <v>9</v>
      </c>
      <c r="H753" s="0" t="n">
        <v>1</v>
      </c>
      <c r="I753" s="0" t="n">
        <v>5506.95</v>
      </c>
      <c r="J753" s="0" t="n">
        <v>2051.49</v>
      </c>
    </row>
    <row r="754" customFormat="false" ht="15" hidden="false" customHeight="false" outlineLevel="0" collapsed="false">
      <c r="A754" s="0" t="s">
        <v>112</v>
      </c>
      <c r="B754" s="0" t="s">
        <v>11</v>
      </c>
      <c r="C754" s="0" t="n">
        <v>6012</v>
      </c>
      <c r="D754" s="0" t="n">
        <v>874</v>
      </c>
      <c r="E754" s="0" t="n">
        <v>307</v>
      </c>
      <c r="F754" s="0" t="n">
        <v>198</v>
      </c>
      <c r="G754" s="0" t="n">
        <v>159</v>
      </c>
      <c r="H754" s="0" t="n">
        <v>53</v>
      </c>
      <c r="I754" s="0" t="n">
        <v>317256.17</v>
      </c>
      <c r="J754" s="0" t="n">
        <v>3971.99</v>
      </c>
    </row>
    <row r="755" customFormat="false" ht="15" hidden="false" customHeight="false" outlineLevel="0" collapsed="false">
      <c r="A755" s="0" t="s">
        <v>112</v>
      </c>
      <c r="B755" s="0" t="s">
        <v>12</v>
      </c>
      <c r="C755" s="0" t="n">
        <v>7725</v>
      </c>
      <c r="D755" s="0" t="n">
        <v>146</v>
      </c>
      <c r="E755" s="0" t="n">
        <v>34</v>
      </c>
      <c r="F755" s="0" t="n">
        <v>14</v>
      </c>
      <c r="G755" s="0" t="n">
        <v>10</v>
      </c>
      <c r="H755" s="0" t="n">
        <v>2</v>
      </c>
      <c r="I755" s="0" t="n">
        <v>9424.27</v>
      </c>
      <c r="J755" s="0" t="n">
        <v>1804.85</v>
      </c>
    </row>
    <row r="756" customFormat="false" ht="15" hidden="false" customHeight="false" outlineLevel="0" collapsed="false">
      <c r="A756" s="0" t="s">
        <v>112</v>
      </c>
      <c r="B756" s="0" t="s">
        <v>13</v>
      </c>
      <c r="C756" s="0" t="n">
        <v>5376</v>
      </c>
      <c r="D756" s="0" t="n">
        <v>249</v>
      </c>
      <c r="E756" s="0" t="n">
        <v>63</v>
      </c>
      <c r="F756" s="0" t="n">
        <v>32</v>
      </c>
      <c r="G756" s="0" t="n">
        <v>24</v>
      </c>
      <c r="H756" s="0" t="n">
        <v>8</v>
      </c>
      <c r="I756" s="0" t="n">
        <v>42381.7</v>
      </c>
      <c r="J756" s="0" t="n">
        <v>5617.82</v>
      </c>
    </row>
    <row r="757" customFormat="false" ht="15" hidden="false" customHeight="false" outlineLevel="0" collapsed="false">
      <c r="A757" s="0" t="s">
        <v>112</v>
      </c>
      <c r="B757" s="0" t="s">
        <v>14</v>
      </c>
      <c r="C757" s="0" t="n">
        <v>13326</v>
      </c>
      <c r="D757" s="0" t="n">
        <v>209</v>
      </c>
      <c r="E757" s="0" t="n">
        <v>39</v>
      </c>
      <c r="F757" s="0" t="n">
        <v>16</v>
      </c>
      <c r="G757" s="0" t="n">
        <v>11</v>
      </c>
      <c r="H757" s="0" t="n">
        <v>2</v>
      </c>
      <c r="I757" s="0" t="n">
        <v>11066.38</v>
      </c>
      <c r="J757" s="0" t="n">
        <v>1648.51</v>
      </c>
    </row>
    <row r="758" customFormat="false" ht="15" hidden="false" customHeight="false" outlineLevel="0" collapsed="false">
      <c r="A758" s="0" t="s">
        <v>112</v>
      </c>
      <c r="B758" s="0" t="s">
        <v>15</v>
      </c>
      <c r="C758" s="0" t="n">
        <v>3718</v>
      </c>
      <c r="D758" s="0" t="n">
        <v>83</v>
      </c>
      <c r="E758" s="0" t="n">
        <v>18</v>
      </c>
      <c r="F758" s="0" t="n">
        <v>11</v>
      </c>
      <c r="G758" s="0" t="n">
        <v>8</v>
      </c>
      <c r="H758" s="0" t="n">
        <v>3</v>
      </c>
      <c r="I758" s="0" t="n">
        <v>37592.1</v>
      </c>
      <c r="J758" s="0" t="n">
        <v>2665.62</v>
      </c>
    </row>
    <row r="759" customFormat="false" ht="15" hidden="false" customHeight="false" outlineLevel="0" collapsed="false">
      <c r="A759" s="0" t="s">
        <v>112</v>
      </c>
      <c r="B759" s="0" t="s">
        <v>16</v>
      </c>
      <c r="C759" s="0" t="n">
        <v>8710</v>
      </c>
      <c r="D759" s="0" t="n">
        <v>519</v>
      </c>
      <c r="E759" s="0" t="n">
        <v>138</v>
      </c>
      <c r="F759" s="0" t="n">
        <v>80</v>
      </c>
      <c r="G759" s="0" t="n">
        <v>58</v>
      </c>
      <c r="H759" s="0" t="n">
        <v>22</v>
      </c>
      <c r="I759" s="0" t="n">
        <v>169802.99</v>
      </c>
      <c r="J759" s="0" t="n">
        <v>1029.62</v>
      </c>
    </row>
    <row r="760" customFormat="false" ht="15" hidden="false" customHeight="false" outlineLevel="0" collapsed="false">
      <c r="A760" s="0" t="s">
        <v>112</v>
      </c>
      <c r="B760" s="0" t="s">
        <v>17</v>
      </c>
      <c r="C760" s="0" t="n">
        <v>1457</v>
      </c>
      <c r="D760" s="0" t="n">
        <v>261</v>
      </c>
      <c r="E760" s="0" t="n">
        <v>117</v>
      </c>
      <c r="F760" s="0" t="n">
        <v>79</v>
      </c>
      <c r="G760" s="0" t="n">
        <v>62</v>
      </c>
      <c r="H760" s="0" t="n">
        <v>26</v>
      </c>
      <c r="I760" s="0" t="n">
        <v>205797.78</v>
      </c>
      <c r="J760" s="0" t="n">
        <v>756.52</v>
      </c>
    </row>
    <row r="761" customFormat="false" ht="15" hidden="false" customHeight="false" outlineLevel="0" collapsed="false">
      <c r="A761" s="0" t="s">
        <v>112</v>
      </c>
      <c r="B761" s="0" t="s">
        <v>18</v>
      </c>
      <c r="C761" s="0" t="n">
        <v>5254</v>
      </c>
      <c r="D761" s="0" t="n">
        <v>100</v>
      </c>
      <c r="E761" s="0" t="n">
        <v>17</v>
      </c>
      <c r="F761" s="0" t="n">
        <v>6</v>
      </c>
      <c r="G761" s="0" t="n">
        <v>3</v>
      </c>
      <c r="H761" s="0" t="n">
        <v>0</v>
      </c>
      <c r="I761" s="0" t="n">
        <v>0</v>
      </c>
      <c r="J761" s="0" t="n">
        <v>1551.71</v>
      </c>
    </row>
    <row r="762" customFormat="false" ht="15" hidden="false" customHeight="false" outlineLevel="0" collapsed="false">
      <c r="A762" s="0" t="s">
        <v>113</v>
      </c>
      <c r="B762" s="0" t="s">
        <v>11</v>
      </c>
      <c r="C762" s="0" t="n">
        <v>6473</v>
      </c>
      <c r="D762" s="0" t="n">
        <v>764</v>
      </c>
      <c r="E762" s="0" t="n">
        <v>249</v>
      </c>
      <c r="F762" s="0" t="n">
        <v>154</v>
      </c>
      <c r="G762" s="0" t="n">
        <v>125</v>
      </c>
      <c r="H762" s="0" t="n">
        <v>49</v>
      </c>
      <c r="I762" s="0" t="n">
        <v>310861.83</v>
      </c>
      <c r="J762" s="0" t="n">
        <v>2135.49</v>
      </c>
    </row>
    <row r="763" customFormat="false" ht="15" hidden="false" customHeight="false" outlineLevel="0" collapsed="false">
      <c r="A763" s="0" t="s">
        <v>113</v>
      </c>
      <c r="B763" s="0" t="s">
        <v>12</v>
      </c>
      <c r="C763" s="0" t="n">
        <v>14034</v>
      </c>
      <c r="D763" s="0" t="n">
        <v>214</v>
      </c>
      <c r="E763" s="0" t="n">
        <v>41</v>
      </c>
      <c r="F763" s="0" t="n">
        <v>21</v>
      </c>
      <c r="G763" s="0" t="n">
        <v>14</v>
      </c>
      <c r="H763" s="0" t="n">
        <v>3</v>
      </c>
      <c r="I763" s="0" t="n">
        <v>16451.97</v>
      </c>
      <c r="J763" s="0" t="n">
        <v>2019.06</v>
      </c>
    </row>
    <row r="764" customFormat="false" ht="15" hidden="false" customHeight="false" outlineLevel="0" collapsed="false">
      <c r="A764" s="0" t="s">
        <v>113</v>
      </c>
      <c r="B764" s="0" t="s">
        <v>13</v>
      </c>
      <c r="C764" s="0" t="n">
        <v>8052</v>
      </c>
      <c r="D764" s="0" t="n">
        <v>474</v>
      </c>
      <c r="E764" s="0" t="n">
        <v>112</v>
      </c>
      <c r="F764" s="0" t="n">
        <v>60</v>
      </c>
      <c r="G764" s="0" t="n">
        <v>44</v>
      </c>
      <c r="H764" s="0" t="n">
        <v>13</v>
      </c>
      <c r="I764" s="0" t="n">
        <v>73033.54</v>
      </c>
      <c r="J764" s="0" t="n">
        <v>10236.13</v>
      </c>
    </row>
    <row r="765" customFormat="false" ht="15" hidden="false" customHeight="false" outlineLevel="0" collapsed="false">
      <c r="A765" s="0" t="s">
        <v>113</v>
      </c>
      <c r="B765" s="0" t="s">
        <v>14</v>
      </c>
      <c r="C765" s="0" t="n">
        <v>6438</v>
      </c>
      <c r="D765" s="0" t="n">
        <v>165</v>
      </c>
      <c r="E765" s="0" t="n">
        <v>24</v>
      </c>
      <c r="F765" s="0" t="n">
        <v>12</v>
      </c>
      <c r="G765" s="0" t="n">
        <v>7</v>
      </c>
      <c r="H765" s="0" t="n">
        <v>1</v>
      </c>
      <c r="I765" s="0" t="n">
        <v>5611.82</v>
      </c>
      <c r="J765" s="0" t="n">
        <v>1523.71</v>
      </c>
    </row>
    <row r="766" customFormat="false" ht="15" hidden="false" customHeight="false" outlineLevel="0" collapsed="false">
      <c r="A766" s="0" t="s">
        <v>113</v>
      </c>
      <c r="B766" s="0" t="s">
        <v>15</v>
      </c>
      <c r="C766" s="0" t="n">
        <v>2130</v>
      </c>
      <c r="D766" s="0" t="n">
        <v>50</v>
      </c>
      <c r="E766" s="0" t="n">
        <v>11</v>
      </c>
      <c r="F766" s="0" t="n">
        <v>6</v>
      </c>
      <c r="G766" s="0" t="n">
        <v>4</v>
      </c>
      <c r="H766" s="0" t="n">
        <v>1</v>
      </c>
      <c r="I766" s="0" t="n">
        <v>11881.3</v>
      </c>
      <c r="J766" s="0" t="n">
        <v>2476.49</v>
      </c>
    </row>
    <row r="767" customFormat="false" ht="15" hidden="false" customHeight="false" outlineLevel="0" collapsed="false">
      <c r="A767" s="0" t="s">
        <v>113</v>
      </c>
      <c r="B767" s="0" t="s">
        <v>16</v>
      </c>
      <c r="C767" s="0" t="n">
        <v>5497</v>
      </c>
      <c r="D767" s="0" t="n">
        <v>244</v>
      </c>
      <c r="E767" s="0" t="n">
        <v>48</v>
      </c>
      <c r="F767" s="0" t="n">
        <v>28</v>
      </c>
      <c r="G767" s="0" t="n">
        <v>21</v>
      </c>
      <c r="H767" s="0" t="n">
        <v>9</v>
      </c>
      <c r="I767" s="0" t="n">
        <v>62101.81</v>
      </c>
      <c r="J767" s="0" t="n">
        <v>492.75</v>
      </c>
    </row>
    <row r="768" customFormat="false" ht="15" hidden="false" customHeight="false" outlineLevel="0" collapsed="false">
      <c r="A768" s="0" t="s">
        <v>113</v>
      </c>
      <c r="B768" s="0" t="s">
        <v>17</v>
      </c>
      <c r="C768" s="0" t="n">
        <v>1235</v>
      </c>
      <c r="D768" s="0" t="n">
        <v>158</v>
      </c>
      <c r="E768" s="0" t="n">
        <v>69</v>
      </c>
      <c r="F768" s="0" t="n">
        <v>50</v>
      </c>
      <c r="G768" s="0" t="n">
        <v>41</v>
      </c>
      <c r="H768" s="0" t="n">
        <v>16</v>
      </c>
      <c r="I768" s="0" t="n">
        <v>116911.94</v>
      </c>
      <c r="J768" s="0" t="n">
        <v>163.7</v>
      </c>
    </row>
    <row r="769" customFormat="false" ht="15" hidden="false" customHeight="false" outlineLevel="0" collapsed="false">
      <c r="A769" s="0" t="s">
        <v>113</v>
      </c>
      <c r="B769" s="0" t="s">
        <v>18</v>
      </c>
      <c r="C769" s="0" t="n">
        <v>6692</v>
      </c>
      <c r="D769" s="0" t="n">
        <v>191</v>
      </c>
      <c r="E769" s="0" t="n">
        <v>37</v>
      </c>
      <c r="F769" s="0" t="n">
        <v>17</v>
      </c>
      <c r="G769" s="0" t="n">
        <v>11</v>
      </c>
      <c r="H769" s="0" t="n">
        <v>2</v>
      </c>
      <c r="I769" s="0" t="n">
        <v>11503.73</v>
      </c>
      <c r="J769" s="0" t="n">
        <v>2117.04</v>
      </c>
    </row>
    <row r="770" customFormat="false" ht="15" hidden="false" customHeight="false" outlineLevel="0" collapsed="false">
      <c r="A770" s="0" t="s">
        <v>114</v>
      </c>
      <c r="B770" s="0" t="s">
        <v>11</v>
      </c>
      <c r="C770" s="0" t="n">
        <v>5807</v>
      </c>
      <c r="D770" s="0" t="n">
        <v>533</v>
      </c>
      <c r="E770" s="0" t="n">
        <v>170</v>
      </c>
      <c r="F770" s="0" t="n">
        <v>98</v>
      </c>
      <c r="G770" s="0" t="n">
        <v>79</v>
      </c>
      <c r="H770" s="0" t="n">
        <v>25</v>
      </c>
      <c r="I770" s="0" t="n">
        <v>173505.84</v>
      </c>
      <c r="J770" s="0" t="n">
        <v>1252.01</v>
      </c>
    </row>
    <row r="771" customFormat="false" ht="15" hidden="false" customHeight="false" outlineLevel="0" collapsed="false">
      <c r="A771" s="0" t="s">
        <v>114</v>
      </c>
      <c r="B771" s="0" t="s">
        <v>12</v>
      </c>
      <c r="C771" s="0" t="n">
        <v>8603</v>
      </c>
      <c r="D771" s="0" t="n">
        <v>137</v>
      </c>
      <c r="E771" s="0" t="n">
        <v>23</v>
      </c>
      <c r="F771" s="0" t="n">
        <v>9</v>
      </c>
      <c r="G771" s="0" t="n">
        <v>6</v>
      </c>
      <c r="H771" s="0" t="n">
        <v>1</v>
      </c>
      <c r="I771" s="0" t="n">
        <v>5672.16</v>
      </c>
      <c r="J771" s="0" t="n">
        <v>1226.48</v>
      </c>
    </row>
    <row r="772" customFormat="false" ht="15" hidden="false" customHeight="false" outlineLevel="0" collapsed="false">
      <c r="A772" s="0" t="s">
        <v>114</v>
      </c>
      <c r="B772" s="0" t="s">
        <v>13</v>
      </c>
      <c r="C772" s="0" t="n">
        <v>12831</v>
      </c>
      <c r="D772" s="0" t="n">
        <v>449</v>
      </c>
      <c r="E772" s="0" t="n">
        <v>112</v>
      </c>
      <c r="F772" s="0" t="n">
        <v>64</v>
      </c>
      <c r="G772" s="0" t="n">
        <v>50</v>
      </c>
      <c r="H772" s="0" t="n">
        <v>17</v>
      </c>
      <c r="I772" s="0" t="n">
        <v>112551.08</v>
      </c>
      <c r="J772" s="0" t="n">
        <v>8889.17</v>
      </c>
    </row>
    <row r="773" customFormat="false" ht="15" hidden="false" customHeight="false" outlineLevel="0" collapsed="false">
      <c r="A773" s="0" t="s">
        <v>114</v>
      </c>
      <c r="B773" s="0" t="s">
        <v>14</v>
      </c>
      <c r="C773" s="0" t="n">
        <v>8702</v>
      </c>
      <c r="D773" s="0" t="n">
        <v>146</v>
      </c>
      <c r="E773" s="0" t="n">
        <v>22</v>
      </c>
      <c r="F773" s="0" t="n">
        <v>9</v>
      </c>
      <c r="G773" s="0" t="n">
        <v>5</v>
      </c>
      <c r="H773" s="0" t="n">
        <v>1</v>
      </c>
      <c r="I773" s="0" t="n">
        <v>5773.14</v>
      </c>
      <c r="J773" s="0" t="n">
        <v>1438.37</v>
      </c>
    </row>
    <row r="774" customFormat="false" ht="15" hidden="false" customHeight="false" outlineLevel="0" collapsed="false">
      <c r="A774" s="0" t="s">
        <v>114</v>
      </c>
      <c r="B774" s="0" t="s">
        <v>15</v>
      </c>
      <c r="C774" s="0" t="n">
        <v>2223</v>
      </c>
      <c r="D774" s="0" t="n">
        <v>50</v>
      </c>
      <c r="E774" s="0" t="n">
        <v>9</v>
      </c>
      <c r="F774" s="0" t="n">
        <v>6</v>
      </c>
      <c r="G774" s="0" t="n">
        <v>4</v>
      </c>
      <c r="H774" s="0" t="n">
        <v>1</v>
      </c>
      <c r="I774" s="0" t="n">
        <v>12635.04</v>
      </c>
      <c r="J774" s="0" t="n">
        <v>2011.94</v>
      </c>
    </row>
    <row r="775" customFormat="false" ht="15" hidden="false" customHeight="false" outlineLevel="0" collapsed="false">
      <c r="A775" s="0" t="s">
        <v>114</v>
      </c>
      <c r="B775" s="0" t="s">
        <v>16</v>
      </c>
      <c r="C775" s="0" t="n">
        <v>6197</v>
      </c>
      <c r="D775" s="0" t="n">
        <v>446</v>
      </c>
      <c r="E775" s="0" t="n">
        <v>117</v>
      </c>
      <c r="F775" s="0" t="n">
        <v>61</v>
      </c>
      <c r="G775" s="0" t="n">
        <v>42</v>
      </c>
      <c r="H775" s="0" t="n">
        <v>15</v>
      </c>
      <c r="I775" s="0" t="n">
        <v>118926.3</v>
      </c>
      <c r="J775" s="0" t="n">
        <v>1068.11</v>
      </c>
    </row>
    <row r="776" customFormat="false" ht="15" hidden="false" customHeight="false" outlineLevel="0" collapsed="false">
      <c r="A776" s="0" t="s">
        <v>114</v>
      </c>
      <c r="B776" s="0" t="s">
        <v>17</v>
      </c>
      <c r="C776" s="0" t="n">
        <v>3348</v>
      </c>
      <c r="D776" s="0" t="n">
        <v>648</v>
      </c>
      <c r="E776" s="0" t="n">
        <v>304</v>
      </c>
      <c r="F776" s="0" t="n">
        <v>202</v>
      </c>
      <c r="G776" s="0" t="n">
        <v>162</v>
      </c>
      <c r="H776" s="0" t="n">
        <v>78</v>
      </c>
      <c r="I776" s="0" t="n">
        <v>562970.22</v>
      </c>
      <c r="J776" s="0" t="n">
        <v>919.26</v>
      </c>
    </row>
    <row r="777" customFormat="false" ht="15" hidden="false" customHeight="false" outlineLevel="0" collapsed="false">
      <c r="A777" s="0" t="s">
        <v>114</v>
      </c>
      <c r="B777" s="0" t="s">
        <v>18</v>
      </c>
      <c r="C777" s="0" t="n">
        <v>9922</v>
      </c>
      <c r="D777" s="0" t="n">
        <v>179</v>
      </c>
      <c r="E777" s="0" t="n">
        <v>38</v>
      </c>
      <c r="F777" s="0" t="n">
        <v>17</v>
      </c>
      <c r="G777" s="0" t="n">
        <v>10</v>
      </c>
      <c r="H777" s="0" t="n">
        <v>2</v>
      </c>
      <c r="I777" s="0" t="n">
        <v>9348.85</v>
      </c>
      <c r="J777" s="0" t="n">
        <v>2252.82</v>
      </c>
    </row>
    <row r="778" customFormat="false" ht="15" hidden="false" customHeight="false" outlineLevel="0" collapsed="false">
      <c r="A778" s="0" t="s">
        <v>115</v>
      </c>
      <c r="B778" s="0" t="s">
        <v>11</v>
      </c>
      <c r="C778" s="0" t="n">
        <v>7598</v>
      </c>
      <c r="D778" s="0" t="n">
        <v>658</v>
      </c>
      <c r="E778" s="0" t="n">
        <v>233</v>
      </c>
      <c r="F778" s="0" t="n">
        <v>145</v>
      </c>
      <c r="G778" s="0" t="n">
        <v>119</v>
      </c>
      <c r="H778" s="0" t="n">
        <v>42</v>
      </c>
      <c r="I778" s="0" t="n">
        <v>276983.33</v>
      </c>
      <c r="J778" s="0" t="n">
        <v>1645.24</v>
      </c>
    </row>
    <row r="779" customFormat="false" ht="15" hidden="false" customHeight="false" outlineLevel="0" collapsed="false">
      <c r="A779" s="0" t="s">
        <v>115</v>
      </c>
      <c r="B779" s="0" t="s">
        <v>12</v>
      </c>
      <c r="C779" s="0" t="n">
        <v>9840</v>
      </c>
      <c r="D779" s="0" t="n">
        <v>201</v>
      </c>
      <c r="E779" s="0" t="n">
        <v>37</v>
      </c>
      <c r="F779" s="0" t="n">
        <v>15</v>
      </c>
      <c r="G779" s="0" t="n">
        <v>11</v>
      </c>
      <c r="H779" s="0" t="n">
        <v>2</v>
      </c>
      <c r="I779" s="0" t="n">
        <v>9466.89</v>
      </c>
      <c r="J779" s="0" t="n">
        <v>1875.87</v>
      </c>
    </row>
    <row r="780" customFormat="false" ht="15" hidden="false" customHeight="false" outlineLevel="0" collapsed="false">
      <c r="A780" s="0" t="s">
        <v>115</v>
      </c>
      <c r="B780" s="0" t="s">
        <v>13</v>
      </c>
      <c r="C780" s="0" t="n">
        <v>9022</v>
      </c>
      <c r="D780" s="0" t="n">
        <v>284</v>
      </c>
      <c r="E780" s="0" t="n">
        <v>70</v>
      </c>
      <c r="F780" s="0" t="n">
        <v>36</v>
      </c>
      <c r="G780" s="0" t="n">
        <v>27</v>
      </c>
      <c r="H780" s="0" t="n">
        <v>7</v>
      </c>
      <c r="I780" s="0" t="n">
        <v>51866.58</v>
      </c>
      <c r="J780" s="0" t="n">
        <v>6170.87</v>
      </c>
    </row>
    <row r="781" customFormat="false" ht="15" hidden="false" customHeight="false" outlineLevel="0" collapsed="false">
      <c r="A781" s="0" t="s">
        <v>115</v>
      </c>
      <c r="B781" s="0" t="s">
        <v>14</v>
      </c>
      <c r="C781" s="0" t="n">
        <v>8163</v>
      </c>
      <c r="D781" s="0" t="n">
        <v>180</v>
      </c>
      <c r="E781" s="0" t="n">
        <v>25</v>
      </c>
      <c r="F781" s="0" t="n">
        <v>12</v>
      </c>
      <c r="G781" s="0" t="n">
        <v>8</v>
      </c>
      <c r="H781" s="0" t="n">
        <v>1</v>
      </c>
      <c r="I781" s="0" t="n">
        <v>5622.68</v>
      </c>
      <c r="J781" s="0" t="n">
        <v>1988.99</v>
      </c>
    </row>
    <row r="782" customFormat="false" ht="15" hidden="false" customHeight="false" outlineLevel="0" collapsed="false">
      <c r="A782" s="0" t="s">
        <v>115</v>
      </c>
      <c r="B782" s="0" t="s">
        <v>15</v>
      </c>
      <c r="C782" s="0" t="n">
        <v>4216</v>
      </c>
      <c r="D782" s="0" t="n">
        <v>99</v>
      </c>
      <c r="E782" s="0" t="n">
        <v>21</v>
      </c>
      <c r="F782" s="0" t="n">
        <v>15</v>
      </c>
      <c r="G782" s="0" t="n">
        <v>12</v>
      </c>
      <c r="H782" s="0" t="n">
        <v>4</v>
      </c>
      <c r="I782" s="0" t="n">
        <v>57879.46</v>
      </c>
      <c r="J782" s="0" t="n">
        <v>4686.31</v>
      </c>
    </row>
    <row r="783" customFormat="false" ht="15" hidden="false" customHeight="false" outlineLevel="0" collapsed="false">
      <c r="A783" s="0" t="s">
        <v>115</v>
      </c>
      <c r="B783" s="0" t="s">
        <v>16</v>
      </c>
      <c r="C783" s="0" t="n">
        <v>12481</v>
      </c>
      <c r="D783" s="0" t="n">
        <v>542</v>
      </c>
      <c r="E783" s="0" t="n">
        <v>128</v>
      </c>
      <c r="F783" s="0" t="n">
        <v>66</v>
      </c>
      <c r="G783" s="0" t="n">
        <v>47</v>
      </c>
      <c r="H783" s="0" t="n">
        <v>16</v>
      </c>
      <c r="I783" s="0" t="n">
        <v>122394.09</v>
      </c>
      <c r="J783" s="0" t="n">
        <v>975.96</v>
      </c>
    </row>
    <row r="784" customFormat="false" ht="15" hidden="false" customHeight="false" outlineLevel="0" collapsed="false">
      <c r="A784" s="0" t="s">
        <v>115</v>
      </c>
      <c r="B784" s="0" t="s">
        <v>17</v>
      </c>
      <c r="C784" s="0" t="n">
        <v>2858</v>
      </c>
      <c r="D784" s="0" t="n">
        <v>475</v>
      </c>
      <c r="E784" s="0" t="n">
        <v>229</v>
      </c>
      <c r="F784" s="0" t="n">
        <v>153</v>
      </c>
      <c r="G784" s="0" t="n">
        <v>121</v>
      </c>
      <c r="H784" s="0" t="n">
        <v>58</v>
      </c>
      <c r="I784" s="0" t="n">
        <v>575608.25</v>
      </c>
      <c r="J784" s="0" t="n">
        <v>623.78</v>
      </c>
    </row>
    <row r="785" customFormat="false" ht="15" hidden="false" customHeight="false" outlineLevel="0" collapsed="false">
      <c r="A785" s="0" t="s">
        <v>115</v>
      </c>
      <c r="B785" s="0" t="s">
        <v>18</v>
      </c>
      <c r="C785" s="0" t="n">
        <v>10897</v>
      </c>
      <c r="D785" s="0" t="n">
        <v>218</v>
      </c>
      <c r="E785" s="0" t="n">
        <v>47</v>
      </c>
      <c r="F785" s="0" t="n">
        <v>17</v>
      </c>
      <c r="G785" s="0" t="n">
        <v>10</v>
      </c>
      <c r="H785" s="0" t="n">
        <v>2</v>
      </c>
      <c r="I785" s="0" t="n">
        <v>11713.49</v>
      </c>
      <c r="J785" s="0" t="n">
        <v>2943.01</v>
      </c>
    </row>
    <row r="786" customFormat="false" ht="15" hidden="false" customHeight="false" outlineLevel="0" collapsed="false">
      <c r="A786" s="0" t="s">
        <v>116</v>
      </c>
      <c r="B786" s="0" t="s">
        <v>11</v>
      </c>
      <c r="C786" s="0" t="n">
        <v>4911</v>
      </c>
      <c r="D786" s="0" t="n">
        <v>545</v>
      </c>
      <c r="E786" s="0" t="n">
        <v>184</v>
      </c>
      <c r="F786" s="0" t="n">
        <v>107</v>
      </c>
      <c r="G786" s="0" t="n">
        <v>85</v>
      </c>
      <c r="H786" s="0" t="n">
        <v>32</v>
      </c>
      <c r="I786" s="0" t="n">
        <v>193552.3</v>
      </c>
      <c r="J786" s="0" t="n">
        <v>1681.49</v>
      </c>
    </row>
    <row r="787" customFormat="false" ht="15" hidden="false" customHeight="false" outlineLevel="0" collapsed="false">
      <c r="A787" s="0" t="s">
        <v>116</v>
      </c>
      <c r="B787" s="0" t="s">
        <v>12</v>
      </c>
      <c r="C787" s="0" t="n">
        <v>17922</v>
      </c>
      <c r="D787" s="0" t="n">
        <v>420</v>
      </c>
      <c r="E787" s="0" t="n">
        <v>95</v>
      </c>
      <c r="F787" s="0" t="n">
        <v>48</v>
      </c>
      <c r="G787" s="0" t="n">
        <v>32</v>
      </c>
      <c r="H787" s="0" t="n">
        <v>8</v>
      </c>
      <c r="I787" s="0" t="n">
        <v>38913.86</v>
      </c>
      <c r="J787" s="0" t="n">
        <v>5911.11</v>
      </c>
    </row>
    <row r="788" customFormat="false" ht="15" hidden="false" customHeight="false" outlineLevel="0" collapsed="false">
      <c r="A788" s="0" t="s">
        <v>116</v>
      </c>
      <c r="B788" s="0" t="s">
        <v>13</v>
      </c>
      <c r="C788" s="0" t="n">
        <v>5656</v>
      </c>
      <c r="D788" s="0" t="n">
        <v>262</v>
      </c>
      <c r="E788" s="0" t="n">
        <v>67</v>
      </c>
      <c r="F788" s="0" t="n">
        <v>40</v>
      </c>
      <c r="G788" s="0" t="n">
        <v>29</v>
      </c>
      <c r="H788" s="0" t="n">
        <v>8</v>
      </c>
      <c r="I788" s="0" t="n">
        <v>44678.63</v>
      </c>
      <c r="J788" s="0" t="n">
        <v>5878.44</v>
      </c>
    </row>
    <row r="789" customFormat="false" ht="15" hidden="false" customHeight="false" outlineLevel="0" collapsed="false">
      <c r="A789" s="0" t="s">
        <v>116</v>
      </c>
      <c r="B789" s="0" t="s">
        <v>14</v>
      </c>
      <c r="C789" s="0" t="n">
        <v>17632</v>
      </c>
      <c r="D789" s="0" t="n">
        <v>339</v>
      </c>
      <c r="E789" s="0" t="n">
        <v>48</v>
      </c>
      <c r="F789" s="0" t="n">
        <v>20</v>
      </c>
      <c r="G789" s="0" t="n">
        <v>15</v>
      </c>
      <c r="H789" s="0" t="n">
        <v>3</v>
      </c>
      <c r="I789" s="0" t="n">
        <v>16687.5</v>
      </c>
      <c r="J789" s="0" t="n">
        <v>4433</v>
      </c>
    </row>
    <row r="790" customFormat="false" ht="15" hidden="false" customHeight="false" outlineLevel="0" collapsed="false">
      <c r="A790" s="0" t="s">
        <v>116</v>
      </c>
      <c r="B790" s="0" t="s">
        <v>15</v>
      </c>
      <c r="C790" s="0" t="n">
        <v>3400</v>
      </c>
      <c r="D790" s="0" t="n">
        <v>73</v>
      </c>
      <c r="E790" s="0" t="n">
        <v>18</v>
      </c>
      <c r="F790" s="0" t="n">
        <v>11</v>
      </c>
      <c r="G790" s="0" t="n">
        <v>9</v>
      </c>
      <c r="H790" s="0" t="n">
        <v>3</v>
      </c>
      <c r="I790" s="0" t="n">
        <v>41668.64</v>
      </c>
      <c r="J790" s="0" t="n">
        <v>2898.49</v>
      </c>
    </row>
    <row r="791" customFormat="false" ht="15" hidden="false" customHeight="false" outlineLevel="0" collapsed="false">
      <c r="A791" s="0" t="s">
        <v>116</v>
      </c>
      <c r="B791" s="0" t="s">
        <v>16</v>
      </c>
      <c r="C791" s="0" t="n">
        <v>12036</v>
      </c>
      <c r="D791" s="0" t="n">
        <v>611</v>
      </c>
      <c r="E791" s="0" t="n">
        <v>135</v>
      </c>
      <c r="F791" s="0" t="n">
        <v>80</v>
      </c>
      <c r="G791" s="0" t="n">
        <v>61</v>
      </c>
      <c r="H791" s="0" t="n">
        <v>24</v>
      </c>
      <c r="I791" s="0" t="n">
        <v>146109.56</v>
      </c>
      <c r="J791" s="0" t="n">
        <v>1402.51</v>
      </c>
    </row>
    <row r="792" customFormat="false" ht="15" hidden="false" customHeight="false" outlineLevel="0" collapsed="false">
      <c r="A792" s="0" t="s">
        <v>116</v>
      </c>
      <c r="B792" s="0" t="s">
        <v>17</v>
      </c>
      <c r="C792" s="0" t="n">
        <v>2854</v>
      </c>
      <c r="D792" s="0" t="n">
        <v>430</v>
      </c>
      <c r="E792" s="0" t="n">
        <v>195</v>
      </c>
      <c r="F792" s="0" t="n">
        <v>133</v>
      </c>
      <c r="G792" s="0" t="n">
        <v>104</v>
      </c>
      <c r="H792" s="0" t="n">
        <v>43</v>
      </c>
      <c r="I792" s="0" t="n">
        <v>353722.24</v>
      </c>
      <c r="J792" s="0" t="n">
        <v>1247.64</v>
      </c>
    </row>
    <row r="793" customFormat="false" ht="15" hidden="false" customHeight="false" outlineLevel="0" collapsed="false">
      <c r="A793" s="0" t="s">
        <v>116</v>
      </c>
      <c r="B793" s="0" t="s">
        <v>18</v>
      </c>
      <c r="C793" s="0" t="n">
        <v>8266</v>
      </c>
      <c r="D793" s="0" t="n">
        <v>91</v>
      </c>
      <c r="E793" s="0" t="n">
        <v>13</v>
      </c>
      <c r="F793" s="0" t="n">
        <v>5</v>
      </c>
      <c r="G793" s="0" t="n">
        <v>3</v>
      </c>
      <c r="H793" s="0" t="n">
        <v>0</v>
      </c>
      <c r="I793" s="0" t="n">
        <v>0</v>
      </c>
      <c r="J793" s="0" t="n">
        <v>1131.24</v>
      </c>
    </row>
    <row r="794" customFormat="false" ht="15" hidden="false" customHeight="false" outlineLevel="0" collapsed="false">
      <c r="A794" s="0" t="s">
        <v>117</v>
      </c>
      <c r="B794" s="0" t="s">
        <v>11</v>
      </c>
      <c r="C794" s="0" t="n">
        <v>5518</v>
      </c>
      <c r="D794" s="0" t="n">
        <v>762</v>
      </c>
      <c r="E794" s="0" t="n">
        <v>279</v>
      </c>
      <c r="F794" s="0" t="n">
        <v>162</v>
      </c>
      <c r="G794" s="0" t="n">
        <v>136</v>
      </c>
      <c r="H794" s="0" t="n">
        <v>53</v>
      </c>
      <c r="I794" s="0" t="n">
        <v>269178.26</v>
      </c>
      <c r="J794" s="0" t="n">
        <v>2002.57</v>
      </c>
    </row>
    <row r="795" customFormat="false" ht="15" hidden="false" customHeight="false" outlineLevel="0" collapsed="false">
      <c r="A795" s="0" t="s">
        <v>117</v>
      </c>
      <c r="B795" s="0" t="s">
        <v>12</v>
      </c>
      <c r="C795" s="0" t="n">
        <v>13012</v>
      </c>
      <c r="D795" s="0" t="n">
        <v>209</v>
      </c>
      <c r="E795" s="0" t="n">
        <v>37</v>
      </c>
      <c r="F795" s="0" t="n">
        <v>20</v>
      </c>
      <c r="G795" s="0" t="n">
        <v>14</v>
      </c>
      <c r="H795" s="0" t="n">
        <v>3</v>
      </c>
      <c r="I795" s="0" t="n">
        <v>15109.23</v>
      </c>
      <c r="J795" s="0" t="n">
        <v>1682.76</v>
      </c>
    </row>
    <row r="796" customFormat="false" ht="15" hidden="false" customHeight="false" outlineLevel="0" collapsed="false">
      <c r="A796" s="0" t="s">
        <v>117</v>
      </c>
      <c r="B796" s="0" t="s">
        <v>13</v>
      </c>
      <c r="C796" s="0" t="n">
        <v>6682</v>
      </c>
      <c r="D796" s="0" t="n">
        <v>238</v>
      </c>
      <c r="E796" s="0" t="n">
        <v>58</v>
      </c>
      <c r="F796" s="0" t="n">
        <v>31</v>
      </c>
      <c r="G796" s="0" t="n">
        <v>22</v>
      </c>
      <c r="H796" s="0" t="n">
        <v>6</v>
      </c>
      <c r="I796" s="0" t="n">
        <v>44841.31</v>
      </c>
      <c r="J796" s="0" t="n">
        <v>4881.31</v>
      </c>
    </row>
    <row r="797" customFormat="false" ht="15" hidden="false" customHeight="false" outlineLevel="0" collapsed="false">
      <c r="A797" s="0" t="s">
        <v>117</v>
      </c>
      <c r="B797" s="0" t="s">
        <v>14</v>
      </c>
      <c r="C797" s="0" t="n">
        <v>7412</v>
      </c>
      <c r="D797" s="0" t="n">
        <v>156</v>
      </c>
      <c r="E797" s="0" t="n">
        <v>33</v>
      </c>
      <c r="F797" s="0" t="n">
        <v>17</v>
      </c>
      <c r="G797" s="0" t="n">
        <v>11</v>
      </c>
      <c r="H797" s="0" t="n">
        <v>2</v>
      </c>
      <c r="I797" s="0" t="n">
        <v>10294.44</v>
      </c>
      <c r="J797" s="0" t="n">
        <v>2123.96</v>
      </c>
    </row>
    <row r="798" customFormat="false" ht="15" hidden="false" customHeight="false" outlineLevel="0" collapsed="false">
      <c r="A798" s="0" t="s">
        <v>117</v>
      </c>
      <c r="B798" s="0" t="s">
        <v>15</v>
      </c>
      <c r="C798" s="0" t="n">
        <v>2259</v>
      </c>
      <c r="D798" s="0" t="n">
        <v>66</v>
      </c>
      <c r="E798" s="0" t="n">
        <v>13</v>
      </c>
      <c r="F798" s="0" t="n">
        <v>8</v>
      </c>
      <c r="G798" s="0" t="n">
        <v>6</v>
      </c>
      <c r="H798" s="0" t="n">
        <v>2</v>
      </c>
      <c r="I798" s="0" t="n">
        <v>21642.7</v>
      </c>
      <c r="J798" s="0" t="n">
        <v>2450.94</v>
      </c>
    </row>
    <row r="799" customFormat="false" ht="15" hidden="false" customHeight="false" outlineLevel="0" collapsed="false">
      <c r="A799" s="0" t="s">
        <v>117</v>
      </c>
      <c r="B799" s="0" t="s">
        <v>16</v>
      </c>
      <c r="C799" s="0" t="n">
        <v>12671</v>
      </c>
      <c r="D799" s="0" t="n">
        <v>926</v>
      </c>
      <c r="E799" s="0" t="n">
        <v>256</v>
      </c>
      <c r="F799" s="0" t="n">
        <v>150</v>
      </c>
      <c r="G799" s="0" t="n">
        <v>112</v>
      </c>
      <c r="H799" s="0" t="n">
        <v>45</v>
      </c>
      <c r="I799" s="0" t="n">
        <v>303298.62</v>
      </c>
      <c r="J799" s="0" t="n">
        <v>977.56</v>
      </c>
    </row>
    <row r="800" customFormat="false" ht="15" hidden="false" customHeight="false" outlineLevel="0" collapsed="false">
      <c r="A800" s="0" t="s">
        <v>117</v>
      </c>
      <c r="B800" s="0" t="s">
        <v>17</v>
      </c>
      <c r="C800" s="0" t="n">
        <v>2378</v>
      </c>
      <c r="D800" s="0" t="n">
        <v>387</v>
      </c>
      <c r="E800" s="0" t="n">
        <v>176</v>
      </c>
      <c r="F800" s="0" t="n">
        <v>127</v>
      </c>
      <c r="G800" s="0" t="n">
        <v>102</v>
      </c>
      <c r="H800" s="0" t="n">
        <v>46</v>
      </c>
      <c r="I800" s="0" t="n">
        <v>379085.84</v>
      </c>
      <c r="J800" s="0" t="n">
        <v>455.22</v>
      </c>
    </row>
    <row r="801" customFormat="false" ht="15" hidden="false" customHeight="false" outlineLevel="0" collapsed="false">
      <c r="A801" s="0" t="s">
        <v>117</v>
      </c>
      <c r="B801" s="0" t="s">
        <v>18</v>
      </c>
      <c r="C801" s="0" t="n">
        <v>10251</v>
      </c>
      <c r="D801" s="0" t="n">
        <v>244</v>
      </c>
      <c r="E801" s="0" t="n">
        <v>53</v>
      </c>
      <c r="F801" s="0" t="n">
        <v>20</v>
      </c>
      <c r="G801" s="0" t="n">
        <v>13</v>
      </c>
      <c r="H801" s="0" t="n">
        <v>2</v>
      </c>
      <c r="I801" s="0" t="n">
        <v>11427.8</v>
      </c>
      <c r="J801" s="0" t="n">
        <v>3515.07</v>
      </c>
    </row>
    <row r="802" customFormat="false" ht="15" hidden="false" customHeight="false" outlineLevel="0" collapsed="false">
      <c r="A802" s="0" t="s">
        <v>118</v>
      </c>
      <c r="B802" s="0" t="s">
        <v>11</v>
      </c>
      <c r="C802" s="0" t="n">
        <v>7408</v>
      </c>
      <c r="D802" s="0" t="n">
        <v>859</v>
      </c>
      <c r="E802" s="0" t="n">
        <v>324</v>
      </c>
      <c r="F802" s="0" t="n">
        <v>196</v>
      </c>
      <c r="G802" s="0" t="n">
        <v>157</v>
      </c>
      <c r="H802" s="0" t="n">
        <v>48</v>
      </c>
      <c r="I802" s="0" t="n">
        <v>290835.23</v>
      </c>
      <c r="J802" s="0" t="n">
        <v>2043.06</v>
      </c>
    </row>
    <row r="803" customFormat="false" ht="15" hidden="false" customHeight="false" outlineLevel="0" collapsed="false">
      <c r="A803" s="0" t="s">
        <v>118</v>
      </c>
      <c r="B803" s="0" t="s">
        <v>12</v>
      </c>
      <c r="C803" s="0" t="n">
        <v>14145</v>
      </c>
      <c r="D803" s="0" t="n">
        <v>411</v>
      </c>
      <c r="E803" s="0" t="n">
        <v>63</v>
      </c>
      <c r="F803" s="0" t="n">
        <v>28</v>
      </c>
      <c r="G803" s="0" t="n">
        <v>21</v>
      </c>
      <c r="H803" s="0" t="n">
        <v>5</v>
      </c>
      <c r="I803" s="0" t="n">
        <v>24247.94</v>
      </c>
      <c r="J803" s="0" t="n">
        <v>3860.97</v>
      </c>
    </row>
    <row r="804" customFormat="false" ht="15" hidden="false" customHeight="false" outlineLevel="0" collapsed="false">
      <c r="A804" s="0" t="s">
        <v>118</v>
      </c>
      <c r="B804" s="0" t="s">
        <v>13</v>
      </c>
      <c r="C804" s="0" t="n">
        <v>11842</v>
      </c>
      <c r="D804" s="0" t="n">
        <v>668</v>
      </c>
      <c r="E804" s="0" t="n">
        <v>147</v>
      </c>
      <c r="F804" s="0" t="n">
        <v>92</v>
      </c>
      <c r="G804" s="0" t="n">
        <v>65</v>
      </c>
      <c r="H804" s="0" t="n">
        <v>22</v>
      </c>
      <c r="I804" s="0" t="n">
        <v>130762.78</v>
      </c>
      <c r="J804" s="0" t="n">
        <v>11550.21</v>
      </c>
    </row>
    <row r="805" customFormat="false" ht="15" hidden="false" customHeight="false" outlineLevel="0" collapsed="false">
      <c r="A805" s="0" t="s">
        <v>118</v>
      </c>
      <c r="B805" s="0" t="s">
        <v>14</v>
      </c>
      <c r="C805" s="0" t="n">
        <v>11241</v>
      </c>
      <c r="D805" s="0" t="n">
        <v>299</v>
      </c>
      <c r="E805" s="0" t="n">
        <v>59</v>
      </c>
      <c r="F805" s="0" t="n">
        <v>26</v>
      </c>
      <c r="G805" s="0" t="n">
        <v>20</v>
      </c>
      <c r="H805" s="0" t="n">
        <v>4</v>
      </c>
      <c r="I805" s="0" t="n">
        <v>17298.19</v>
      </c>
      <c r="J805" s="0" t="n">
        <v>2214.89</v>
      </c>
    </row>
    <row r="806" customFormat="false" ht="15" hidden="false" customHeight="false" outlineLevel="0" collapsed="false">
      <c r="A806" s="0" t="s">
        <v>118</v>
      </c>
      <c r="B806" s="0" t="s">
        <v>15</v>
      </c>
      <c r="C806" s="0" t="n">
        <v>3744</v>
      </c>
      <c r="D806" s="0" t="n">
        <v>86</v>
      </c>
      <c r="E806" s="0" t="n">
        <v>23</v>
      </c>
      <c r="F806" s="0" t="n">
        <v>16</v>
      </c>
      <c r="G806" s="0" t="n">
        <v>12</v>
      </c>
      <c r="H806" s="0" t="n">
        <v>4</v>
      </c>
      <c r="I806" s="0" t="n">
        <v>58825.58</v>
      </c>
      <c r="J806" s="0" t="n">
        <v>3820.89</v>
      </c>
    </row>
    <row r="807" customFormat="false" ht="15" hidden="false" customHeight="false" outlineLevel="0" collapsed="false">
      <c r="A807" s="0" t="s">
        <v>118</v>
      </c>
      <c r="B807" s="0" t="s">
        <v>16</v>
      </c>
      <c r="C807" s="0" t="n">
        <v>8419</v>
      </c>
      <c r="D807" s="0" t="n">
        <v>343</v>
      </c>
      <c r="E807" s="0" t="n">
        <v>88</v>
      </c>
      <c r="F807" s="0" t="n">
        <v>44</v>
      </c>
      <c r="G807" s="0" t="n">
        <v>33</v>
      </c>
      <c r="H807" s="0" t="n">
        <v>13</v>
      </c>
      <c r="I807" s="0" t="n">
        <v>96884.31</v>
      </c>
      <c r="J807" s="0" t="n">
        <v>1007.61</v>
      </c>
    </row>
    <row r="808" customFormat="false" ht="15" hidden="false" customHeight="false" outlineLevel="0" collapsed="false">
      <c r="A808" s="0" t="s">
        <v>118</v>
      </c>
      <c r="B808" s="0" t="s">
        <v>17</v>
      </c>
      <c r="C808" s="0" t="n">
        <v>1190</v>
      </c>
      <c r="D808" s="0" t="n">
        <v>184</v>
      </c>
      <c r="E808" s="0" t="n">
        <v>89</v>
      </c>
      <c r="F808" s="0" t="n">
        <v>66</v>
      </c>
      <c r="G808" s="0" t="n">
        <v>54</v>
      </c>
      <c r="H808" s="0" t="n">
        <v>23</v>
      </c>
      <c r="I808" s="0" t="n">
        <v>174195.71</v>
      </c>
      <c r="J808" s="0" t="n">
        <v>517.65</v>
      </c>
    </row>
    <row r="809" customFormat="false" ht="15" hidden="false" customHeight="false" outlineLevel="0" collapsed="false">
      <c r="A809" s="0" t="s">
        <v>118</v>
      </c>
      <c r="B809" s="0" t="s">
        <v>18</v>
      </c>
      <c r="C809" s="0" t="n">
        <v>9308</v>
      </c>
      <c r="D809" s="0" t="n">
        <v>168</v>
      </c>
      <c r="E809" s="0" t="n">
        <v>25</v>
      </c>
      <c r="F809" s="0" t="n">
        <v>10</v>
      </c>
      <c r="G809" s="0" t="n">
        <v>6</v>
      </c>
      <c r="H809" s="0" t="n">
        <v>1</v>
      </c>
      <c r="I809" s="0" t="n">
        <v>4536.09</v>
      </c>
      <c r="J809" s="0" t="n">
        <v>3273.97</v>
      </c>
    </row>
    <row r="810" customFormat="false" ht="15" hidden="false" customHeight="false" outlineLevel="0" collapsed="false">
      <c r="A810" s="0" t="s">
        <v>119</v>
      </c>
      <c r="B810" s="0" t="s">
        <v>11</v>
      </c>
      <c r="C810" s="0" t="n">
        <v>4130</v>
      </c>
      <c r="D810" s="0" t="n">
        <v>337</v>
      </c>
      <c r="E810" s="0" t="n">
        <v>108</v>
      </c>
      <c r="F810" s="0" t="n">
        <v>67</v>
      </c>
      <c r="G810" s="0" t="n">
        <v>51</v>
      </c>
      <c r="H810" s="0" t="n">
        <v>15</v>
      </c>
      <c r="I810" s="0" t="n">
        <v>75299.08</v>
      </c>
      <c r="J810" s="0" t="n">
        <v>1153.67</v>
      </c>
    </row>
    <row r="811" customFormat="false" ht="15" hidden="false" customHeight="false" outlineLevel="0" collapsed="false">
      <c r="A811" s="0" t="s">
        <v>119</v>
      </c>
      <c r="B811" s="0" t="s">
        <v>12</v>
      </c>
      <c r="C811" s="0" t="n">
        <v>13404</v>
      </c>
      <c r="D811" s="0" t="n">
        <v>395</v>
      </c>
      <c r="E811" s="0" t="n">
        <v>87</v>
      </c>
      <c r="F811" s="0" t="n">
        <v>46</v>
      </c>
      <c r="G811" s="0" t="n">
        <v>33</v>
      </c>
      <c r="H811" s="0" t="n">
        <v>6</v>
      </c>
      <c r="I811" s="0" t="n">
        <v>25522.47</v>
      </c>
      <c r="J811" s="0" t="n">
        <v>4620.41</v>
      </c>
    </row>
    <row r="812" customFormat="false" ht="15" hidden="false" customHeight="false" outlineLevel="0" collapsed="false">
      <c r="A812" s="0" t="s">
        <v>119</v>
      </c>
      <c r="B812" s="0" t="s">
        <v>13</v>
      </c>
      <c r="C812" s="0" t="n">
        <v>11147</v>
      </c>
      <c r="D812" s="0" t="n">
        <v>352</v>
      </c>
      <c r="E812" s="0" t="n">
        <v>89</v>
      </c>
      <c r="F812" s="0" t="n">
        <v>45</v>
      </c>
      <c r="G812" s="0" t="n">
        <v>37</v>
      </c>
      <c r="H812" s="0" t="n">
        <v>12</v>
      </c>
      <c r="I812" s="0" t="n">
        <v>89660.27</v>
      </c>
      <c r="J812" s="0" t="n">
        <v>7243.98</v>
      </c>
    </row>
    <row r="813" customFormat="false" ht="15" hidden="false" customHeight="false" outlineLevel="0" collapsed="false">
      <c r="A813" s="0" t="s">
        <v>119</v>
      </c>
      <c r="B813" s="0" t="s">
        <v>14</v>
      </c>
      <c r="C813" s="0" t="n">
        <v>11489</v>
      </c>
      <c r="D813" s="0" t="n">
        <v>226</v>
      </c>
      <c r="E813" s="0" t="n">
        <v>42</v>
      </c>
      <c r="F813" s="0" t="n">
        <v>16</v>
      </c>
      <c r="G813" s="0" t="n">
        <v>10</v>
      </c>
      <c r="H813" s="0" t="n">
        <v>2</v>
      </c>
      <c r="I813" s="0" t="n">
        <v>9134.44</v>
      </c>
      <c r="J813" s="0" t="n">
        <v>3085.7</v>
      </c>
    </row>
    <row r="814" customFormat="false" ht="15" hidden="false" customHeight="false" outlineLevel="0" collapsed="false">
      <c r="A814" s="0" t="s">
        <v>119</v>
      </c>
      <c r="B814" s="0" t="s">
        <v>15</v>
      </c>
      <c r="C814" s="0" t="n">
        <v>3142</v>
      </c>
      <c r="D814" s="0" t="n">
        <v>107</v>
      </c>
      <c r="E814" s="0" t="n">
        <v>25</v>
      </c>
      <c r="F814" s="0" t="n">
        <v>16</v>
      </c>
      <c r="G814" s="0" t="n">
        <v>12</v>
      </c>
      <c r="H814" s="0" t="n">
        <v>3</v>
      </c>
      <c r="I814" s="0" t="n">
        <v>31959.52</v>
      </c>
      <c r="J814" s="0" t="n">
        <v>5277.29</v>
      </c>
    </row>
    <row r="815" customFormat="false" ht="15" hidden="false" customHeight="false" outlineLevel="0" collapsed="false">
      <c r="A815" s="0" t="s">
        <v>119</v>
      </c>
      <c r="B815" s="0" t="s">
        <v>16</v>
      </c>
      <c r="C815" s="0" t="n">
        <v>5748</v>
      </c>
      <c r="D815" s="0" t="n">
        <v>415</v>
      </c>
      <c r="E815" s="0" t="n">
        <v>108</v>
      </c>
      <c r="F815" s="0" t="n">
        <v>63</v>
      </c>
      <c r="G815" s="0" t="n">
        <v>49</v>
      </c>
      <c r="H815" s="0" t="n">
        <v>20</v>
      </c>
      <c r="I815" s="0" t="n">
        <v>166970.92</v>
      </c>
      <c r="J815" s="0" t="n">
        <v>458.44</v>
      </c>
    </row>
    <row r="816" customFormat="false" ht="15" hidden="false" customHeight="false" outlineLevel="0" collapsed="false">
      <c r="A816" s="0" t="s">
        <v>119</v>
      </c>
      <c r="B816" s="0" t="s">
        <v>17</v>
      </c>
      <c r="C816" s="0" t="n">
        <v>3006</v>
      </c>
      <c r="D816" s="0" t="n">
        <v>540</v>
      </c>
      <c r="E816" s="0" t="n">
        <v>243</v>
      </c>
      <c r="F816" s="0" t="n">
        <v>163</v>
      </c>
      <c r="G816" s="0" t="n">
        <v>140</v>
      </c>
      <c r="H816" s="0" t="n">
        <v>66</v>
      </c>
      <c r="I816" s="0" t="n">
        <v>492827.13</v>
      </c>
      <c r="J816" s="0" t="n">
        <v>1599.22</v>
      </c>
    </row>
    <row r="817" customFormat="false" ht="15" hidden="false" customHeight="false" outlineLevel="0" collapsed="false">
      <c r="A817" s="0" t="s">
        <v>119</v>
      </c>
      <c r="B817" s="0" t="s">
        <v>18</v>
      </c>
      <c r="C817" s="0" t="n">
        <v>5592</v>
      </c>
      <c r="D817" s="0" t="n">
        <v>79</v>
      </c>
      <c r="E817" s="0" t="n">
        <v>16</v>
      </c>
      <c r="F817" s="0" t="n">
        <v>6</v>
      </c>
      <c r="G817" s="0" t="n">
        <v>3</v>
      </c>
      <c r="H817" s="0" t="n">
        <v>0</v>
      </c>
      <c r="I817" s="0" t="n">
        <v>0</v>
      </c>
      <c r="J817" s="0" t="n">
        <v>809.61</v>
      </c>
    </row>
    <row r="818" customFormat="false" ht="15" hidden="false" customHeight="false" outlineLevel="0" collapsed="false">
      <c r="A818" s="0" t="s">
        <v>120</v>
      </c>
      <c r="B818" s="0" t="s">
        <v>11</v>
      </c>
      <c r="C818" s="0" t="n">
        <v>3570</v>
      </c>
      <c r="D818" s="0" t="n">
        <v>366</v>
      </c>
      <c r="E818" s="0" t="n">
        <v>116</v>
      </c>
      <c r="F818" s="0" t="n">
        <v>70</v>
      </c>
      <c r="G818" s="0" t="n">
        <v>53</v>
      </c>
      <c r="H818" s="0" t="n">
        <v>17</v>
      </c>
      <c r="I818" s="0" t="n">
        <v>104043.94</v>
      </c>
      <c r="J818" s="0" t="n">
        <v>1497.32</v>
      </c>
    </row>
    <row r="819" customFormat="false" ht="15" hidden="false" customHeight="false" outlineLevel="0" collapsed="false">
      <c r="A819" s="0" t="s">
        <v>120</v>
      </c>
      <c r="B819" s="0" t="s">
        <v>12</v>
      </c>
      <c r="C819" s="0" t="n">
        <v>13627</v>
      </c>
      <c r="D819" s="0" t="n">
        <v>385</v>
      </c>
      <c r="E819" s="0" t="n">
        <v>75</v>
      </c>
      <c r="F819" s="0" t="n">
        <v>36</v>
      </c>
      <c r="G819" s="0" t="n">
        <v>24</v>
      </c>
      <c r="H819" s="0" t="n">
        <v>6</v>
      </c>
      <c r="I819" s="0" t="n">
        <v>27223.19</v>
      </c>
      <c r="J819" s="0" t="n">
        <v>5686.95</v>
      </c>
    </row>
    <row r="820" customFormat="false" ht="15" hidden="false" customHeight="false" outlineLevel="0" collapsed="false">
      <c r="A820" s="0" t="s">
        <v>120</v>
      </c>
      <c r="B820" s="0" t="s">
        <v>13</v>
      </c>
      <c r="C820" s="0" t="n">
        <v>7355</v>
      </c>
      <c r="D820" s="0" t="n">
        <v>406</v>
      </c>
      <c r="E820" s="0" t="n">
        <v>103</v>
      </c>
      <c r="F820" s="0" t="n">
        <v>65</v>
      </c>
      <c r="G820" s="0" t="n">
        <v>54</v>
      </c>
      <c r="H820" s="0" t="n">
        <v>13</v>
      </c>
      <c r="I820" s="0" t="n">
        <v>74763.99</v>
      </c>
      <c r="J820" s="0" t="n">
        <v>5990.17</v>
      </c>
    </row>
    <row r="821" customFormat="false" ht="15" hidden="false" customHeight="false" outlineLevel="0" collapsed="false">
      <c r="A821" s="0" t="s">
        <v>120</v>
      </c>
      <c r="B821" s="0" t="s">
        <v>14</v>
      </c>
      <c r="C821" s="0" t="n">
        <v>10576</v>
      </c>
      <c r="D821" s="0" t="n">
        <v>141</v>
      </c>
      <c r="E821" s="0" t="n">
        <v>25</v>
      </c>
      <c r="F821" s="0" t="n">
        <v>11</v>
      </c>
      <c r="G821" s="0" t="n">
        <v>6</v>
      </c>
      <c r="H821" s="0" t="n">
        <v>1</v>
      </c>
      <c r="I821" s="0" t="n">
        <v>4843.66</v>
      </c>
      <c r="J821" s="0" t="n">
        <v>1316.76</v>
      </c>
    </row>
    <row r="822" customFormat="false" ht="15" hidden="false" customHeight="false" outlineLevel="0" collapsed="false">
      <c r="A822" s="0" t="s">
        <v>120</v>
      </c>
      <c r="B822" s="0" t="s">
        <v>15</v>
      </c>
      <c r="C822" s="0" t="n">
        <v>3691</v>
      </c>
      <c r="D822" s="0" t="n">
        <v>74</v>
      </c>
      <c r="E822" s="0" t="n">
        <v>18</v>
      </c>
      <c r="F822" s="0" t="n">
        <v>12</v>
      </c>
      <c r="G822" s="0" t="n">
        <v>9</v>
      </c>
      <c r="H822" s="0" t="n">
        <v>2</v>
      </c>
      <c r="I822" s="0" t="n">
        <v>29551.75</v>
      </c>
      <c r="J822" s="0" t="n">
        <v>3337.3</v>
      </c>
    </row>
    <row r="823" customFormat="false" ht="15" hidden="false" customHeight="false" outlineLevel="0" collapsed="false">
      <c r="A823" s="0" t="s">
        <v>120</v>
      </c>
      <c r="B823" s="0" t="s">
        <v>16</v>
      </c>
      <c r="C823" s="0" t="n">
        <v>8056</v>
      </c>
      <c r="D823" s="0" t="n">
        <v>457</v>
      </c>
      <c r="E823" s="0" t="n">
        <v>111</v>
      </c>
      <c r="F823" s="0" t="n">
        <v>55</v>
      </c>
      <c r="G823" s="0" t="n">
        <v>37</v>
      </c>
      <c r="H823" s="0" t="n">
        <v>16</v>
      </c>
      <c r="I823" s="0" t="n">
        <v>129926.57</v>
      </c>
      <c r="J823" s="0" t="n">
        <v>528.18</v>
      </c>
    </row>
    <row r="824" customFormat="false" ht="15" hidden="false" customHeight="false" outlineLevel="0" collapsed="false">
      <c r="A824" s="0" t="s">
        <v>120</v>
      </c>
      <c r="B824" s="0" t="s">
        <v>17</v>
      </c>
      <c r="C824" s="0" t="n">
        <v>3196</v>
      </c>
      <c r="D824" s="0" t="n">
        <v>406</v>
      </c>
      <c r="E824" s="0" t="n">
        <v>177</v>
      </c>
      <c r="F824" s="0" t="n">
        <v>125</v>
      </c>
      <c r="G824" s="0" t="n">
        <v>108</v>
      </c>
      <c r="H824" s="0" t="n">
        <v>53</v>
      </c>
      <c r="I824" s="0" t="n">
        <v>384772.54</v>
      </c>
      <c r="J824" s="0" t="n">
        <v>1006.53</v>
      </c>
    </row>
    <row r="825" customFormat="false" ht="15" hidden="false" customHeight="false" outlineLevel="0" collapsed="false">
      <c r="A825" s="0" t="s">
        <v>120</v>
      </c>
      <c r="B825" s="0" t="s">
        <v>18</v>
      </c>
      <c r="C825" s="0" t="n">
        <v>8231</v>
      </c>
      <c r="D825" s="0" t="n">
        <v>149</v>
      </c>
      <c r="E825" s="0" t="n">
        <v>27</v>
      </c>
      <c r="F825" s="0" t="n">
        <v>9</v>
      </c>
      <c r="G825" s="0" t="n">
        <v>5</v>
      </c>
      <c r="H825" s="0" t="n">
        <v>1</v>
      </c>
      <c r="I825" s="0" t="n">
        <v>4603.32</v>
      </c>
      <c r="J825" s="0" t="n">
        <v>2166.4</v>
      </c>
    </row>
    <row r="826" customFormat="false" ht="15" hidden="false" customHeight="false" outlineLevel="0" collapsed="false">
      <c r="A826" s="0" t="s">
        <v>121</v>
      </c>
      <c r="B826" s="0" t="s">
        <v>11</v>
      </c>
      <c r="C826" s="0" t="n">
        <v>7091</v>
      </c>
      <c r="D826" s="0" t="n">
        <v>652</v>
      </c>
      <c r="E826" s="0" t="n">
        <v>248</v>
      </c>
      <c r="F826" s="0" t="n">
        <v>153</v>
      </c>
      <c r="G826" s="0" t="n">
        <v>123</v>
      </c>
      <c r="H826" s="0" t="n">
        <v>45</v>
      </c>
      <c r="I826" s="0" t="n">
        <v>237455.78</v>
      </c>
      <c r="J826" s="0" t="n">
        <v>2109.91</v>
      </c>
    </row>
    <row r="827" customFormat="false" ht="15" hidden="false" customHeight="false" outlineLevel="0" collapsed="false">
      <c r="A827" s="0" t="s">
        <v>121</v>
      </c>
      <c r="B827" s="0" t="s">
        <v>12</v>
      </c>
      <c r="C827" s="0" t="n">
        <v>14401</v>
      </c>
      <c r="D827" s="0" t="n">
        <v>344</v>
      </c>
      <c r="E827" s="0" t="n">
        <v>64</v>
      </c>
      <c r="F827" s="0" t="n">
        <v>33</v>
      </c>
      <c r="G827" s="0" t="n">
        <v>24</v>
      </c>
      <c r="H827" s="0" t="n">
        <v>5</v>
      </c>
      <c r="I827" s="0" t="n">
        <v>25368.59</v>
      </c>
      <c r="J827" s="0" t="n">
        <v>3062.79</v>
      </c>
    </row>
    <row r="828" customFormat="false" ht="15" hidden="false" customHeight="false" outlineLevel="0" collapsed="false">
      <c r="A828" s="0" t="s">
        <v>121</v>
      </c>
      <c r="B828" s="0" t="s">
        <v>13</v>
      </c>
      <c r="C828" s="0" t="n">
        <v>8840</v>
      </c>
      <c r="D828" s="0" t="n">
        <v>491</v>
      </c>
      <c r="E828" s="0" t="n">
        <v>134</v>
      </c>
      <c r="F828" s="0" t="n">
        <v>72</v>
      </c>
      <c r="G828" s="0" t="n">
        <v>51</v>
      </c>
      <c r="H828" s="0" t="n">
        <v>14</v>
      </c>
      <c r="I828" s="0" t="n">
        <v>94426.73</v>
      </c>
      <c r="J828" s="0" t="n">
        <v>11394.91</v>
      </c>
    </row>
    <row r="829" customFormat="false" ht="15" hidden="false" customHeight="false" outlineLevel="0" collapsed="false">
      <c r="A829" s="0" t="s">
        <v>121</v>
      </c>
      <c r="B829" s="0" t="s">
        <v>14</v>
      </c>
      <c r="C829" s="0" t="n">
        <v>17302</v>
      </c>
      <c r="D829" s="0" t="n">
        <v>292</v>
      </c>
      <c r="E829" s="0" t="n">
        <v>60</v>
      </c>
      <c r="F829" s="0" t="n">
        <v>29</v>
      </c>
      <c r="G829" s="0" t="n">
        <v>18</v>
      </c>
      <c r="H829" s="0" t="n">
        <v>3</v>
      </c>
      <c r="I829" s="0" t="n">
        <v>15770.96</v>
      </c>
      <c r="J829" s="0" t="n">
        <v>2252.18</v>
      </c>
    </row>
    <row r="830" customFormat="false" ht="15" hidden="false" customHeight="false" outlineLevel="0" collapsed="false">
      <c r="A830" s="0" t="s">
        <v>121</v>
      </c>
      <c r="B830" s="0" t="s">
        <v>15</v>
      </c>
      <c r="C830" s="0" t="n">
        <v>2798</v>
      </c>
      <c r="D830" s="0" t="n">
        <v>76</v>
      </c>
      <c r="E830" s="0" t="n">
        <v>17</v>
      </c>
      <c r="F830" s="0" t="n">
        <v>12</v>
      </c>
      <c r="G830" s="0" t="n">
        <v>8</v>
      </c>
      <c r="H830" s="0" t="n">
        <v>2</v>
      </c>
      <c r="I830" s="0" t="n">
        <v>25408.27</v>
      </c>
      <c r="J830" s="0" t="n">
        <v>3017.31</v>
      </c>
    </row>
    <row r="831" customFormat="false" ht="15" hidden="false" customHeight="false" outlineLevel="0" collapsed="false">
      <c r="A831" s="0" t="s">
        <v>121</v>
      </c>
      <c r="B831" s="0" t="s">
        <v>16</v>
      </c>
      <c r="C831" s="0" t="n">
        <v>11991</v>
      </c>
      <c r="D831" s="0" t="n">
        <v>731</v>
      </c>
      <c r="E831" s="0" t="n">
        <v>183</v>
      </c>
      <c r="F831" s="0" t="n">
        <v>97</v>
      </c>
      <c r="G831" s="0" t="n">
        <v>76</v>
      </c>
      <c r="H831" s="0" t="n">
        <v>31</v>
      </c>
      <c r="I831" s="0" t="n">
        <v>227831.77</v>
      </c>
      <c r="J831" s="0" t="n">
        <v>855.86</v>
      </c>
    </row>
    <row r="832" customFormat="false" ht="15" hidden="false" customHeight="false" outlineLevel="0" collapsed="false">
      <c r="A832" s="0" t="s">
        <v>121</v>
      </c>
      <c r="B832" s="0" t="s">
        <v>17</v>
      </c>
      <c r="C832" s="0" t="n">
        <v>3269</v>
      </c>
      <c r="D832" s="0" t="n">
        <v>586</v>
      </c>
      <c r="E832" s="0" t="n">
        <v>263</v>
      </c>
      <c r="F832" s="0" t="n">
        <v>194</v>
      </c>
      <c r="G832" s="0" t="n">
        <v>156</v>
      </c>
      <c r="H832" s="0" t="n">
        <v>68</v>
      </c>
      <c r="I832" s="0" t="n">
        <v>658836.37</v>
      </c>
      <c r="J832" s="0" t="n">
        <v>1639.16</v>
      </c>
    </row>
    <row r="833" customFormat="false" ht="15" hidden="false" customHeight="false" outlineLevel="0" collapsed="false">
      <c r="A833" s="0" t="s">
        <v>121</v>
      </c>
      <c r="B833" s="0" t="s">
        <v>18</v>
      </c>
      <c r="C833" s="0" t="n">
        <v>9799</v>
      </c>
      <c r="D833" s="0" t="n">
        <v>266</v>
      </c>
      <c r="E833" s="0" t="n">
        <v>41</v>
      </c>
      <c r="F833" s="0" t="n">
        <v>19</v>
      </c>
      <c r="G833" s="0" t="n">
        <v>12</v>
      </c>
      <c r="H833" s="0" t="n">
        <v>2</v>
      </c>
      <c r="I833" s="0" t="n">
        <v>9671.87</v>
      </c>
      <c r="J833" s="0" t="n">
        <v>3296.72</v>
      </c>
    </row>
    <row r="834" customFormat="false" ht="15" hidden="false" customHeight="false" outlineLevel="0" collapsed="false">
      <c r="A834" s="0" t="s">
        <v>122</v>
      </c>
      <c r="B834" s="0" t="s">
        <v>11</v>
      </c>
      <c r="C834" s="0" t="n">
        <v>5717</v>
      </c>
      <c r="D834" s="0" t="n">
        <v>486</v>
      </c>
      <c r="E834" s="0" t="n">
        <v>184</v>
      </c>
      <c r="F834" s="0" t="n">
        <v>105</v>
      </c>
      <c r="G834" s="0" t="n">
        <v>85</v>
      </c>
      <c r="H834" s="0" t="n">
        <v>32</v>
      </c>
      <c r="I834" s="0" t="n">
        <v>207416.53</v>
      </c>
      <c r="J834" s="0" t="n">
        <v>1791.22</v>
      </c>
    </row>
    <row r="835" customFormat="false" ht="15" hidden="false" customHeight="false" outlineLevel="0" collapsed="false">
      <c r="A835" s="0" t="s">
        <v>122</v>
      </c>
      <c r="B835" s="0" t="s">
        <v>12</v>
      </c>
      <c r="C835" s="0" t="n">
        <v>18722</v>
      </c>
      <c r="D835" s="0" t="n">
        <v>493</v>
      </c>
      <c r="E835" s="0" t="n">
        <v>90</v>
      </c>
      <c r="F835" s="0" t="n">
        <v>46</v>
      </c>
      <c r="G835" s="0" t="n">
        <v>30</v>
      </c>
      <c r="H835" s="0" t="n">
        <v>6</v>
      </c>
      <c r="I835" s="0" t="n">
        <v>33692.43</v>
      </c>
      <c r="J835" s="0" t="n">
        <v>5136.76</v>
      </c>
    </row>
    <row r="836" customFormat="false" ht="15" hidden="false" customHeight="false" outlineLevel="0" collapsed="false">
      <c r="A836" s="0" t="s">
        <v>122</v>
      </c>
      <c r="B836" s="0" t="s">
        <v>13</v>
      </c>
      <c r="C836" s="0" t="n">
        <v>7511</v>
      </c>
      <c r="D836" s="0" t="n">
        <v>297</v>
      </c>
      <c r="E836" s="0" t="n">
        <v>63</v>
      </c>
      <c r="F836" s="0" t="n">
        <v>34</v>
      </c>
      <c r="G836" s="0" t="n">
        <v>26</v>
      </c>
      <c r="H836" s="0" t="n">
        <v>7</v>
      </c>
      <c r="I836" s="0" t="n">
        <v>50675.49</v>
      </c>
      <c r="J836" s="0" t="n">
        <v>5187.75</v>
      </c>
    </row>
    <row r="837" customFormat="false" ht="15" hidden="false" customHeight="false" outlineLevel="0" collapsed="false">
      <c r="A837" s="0" t="s">
        <v>122</v>
      </c>
      <c r="B837" s="0" t="s">
        <v>14</v>
      </c>
      <c r="C837" s="0" t="n">
        <v>9709</v>
      </c>
      <c r="D837" s="0" t="n">
        <v>126</v>
      </c>
      <c r="E837" s="0" t="n">
        <v>17</v>
      </c>
      <c r="F837" s="0" t="n">
        <v>8</v>
      </c>
      <c r="G837" s="0" t="n">
        <v>5</v>
      </c>
      <c r="H837" s="0" t="n">
        <v>1</v>
      </c>
      <c r="I837" s="0" t="n">
        <v>4855.16</v>
      </c>
      <c r="J837" s="0" t="n">
        <v>1371.77</v>
      </c>
    </row>
    <row r="838" customFormat="false" ht="15" hidden="false" customHeight="false" outlineLevel="0" collapsed="false">
      <c r="A838" s="0" t="s">
        <v>122</v>
      </c>
      <c r="B838" s="0" t="s">
        <v>15</v>
      </c>
      <c r="C838" s="0" t="n">
        <v>4621</v>
      </c>
      <c r="D838" s="0" t="n">
        <v>113</v>
      </c>
      <c r="E838" s="0" t="n">
        <v>30</v>
      </c>
      <c r="F838" s="0" t="n">
        <v>19</v>
      </c>
      <c r="G838" s="0" t="n">
        <v>15</v>
      </c>
      <c r="H838" s="0" t="n">
        <v>4</v>
      </c>
      <c r="I838" s="0" t="n">
        <v>47034.2</v>
      </c>
      <c r="J838" s="0" t="n">
        <v>4232.21</v>
      </c>
    </row>
    <row r="839" customFormat="false" ht="15" hidden="false" customHeight="false" outlineLevel="0" collapsed="false">
      <c r="A839" s="0" t="s">
        <v>122</v>
      </c>
      <c r="B839" s="0" t="s">
        <v>16</v>
      </c>
      <c r="C839" s="0" t="n">
        <v>11956</v>
      </c>
      <c r="D839" s="0" t="n">
        <v>648</v>
      </c>
      <c r="E839" s="0" t="n">
        <v>171</v>
      </c>
      <c r="F839" s="0" t="n">
        <v>90</v>
      </c>
      <c r="G839" s="0" t="n">
        <v>67</v>
      </c>
      <c r="H839" s="0" t="n">
        <v>28</v>
      </c>
      <c r="I839" s="0" t="n">
        <v>193432.48</v>
      </c>
      <c r="J839" s="0" t="n">
        <v>1139.13</v>
      </c>
    </row>
    <row r="840" customFormat="false" ht="15" hidden="false" customHeight="false" outlineLevel="0" collapsed="false">
      <c r="A840" s="0" t="s">
        <v>122</v>
      </c>
      <c r="B840" s="0" t="s">
        <v>17</v>
      </c>
      <c r="C840" s="0" t="n">
        <v>2378</v>
      </c>
      <c r="D840" s="0" t="n">
        <v>432</v>
      </c>
      <c r="E840" s="0" t="n">
        <v>212</v>
      </c>
      <c r="F840" s="0" t="n">
        <v>149</v>
      </c>
      <c r="G840" s="0" t="n">
        <v>126</v>
      </c>
      <c r="H840" s="0" t="n">
        <v>61</v>
      </c>
      <c r="I840" s="0" t="n">
        <v>469470.38</v>
      </c>
      <c r="J840" s="0" t="n">
        <v>517.14</v>
      </c>
    </row>
    <row r="841" customFormat="false" ht="15" hidden="false" customHeight="false" outlineLevel="0" collapsed="false">
      <c r="A841" s="0" t="s">
        <v>122</v>
      </c>
      <c r="B841" s="0" t="s">
        <v>18</v>
      </c>
      <c r="C841" s="0" t="n">
        <v>9962</v>
      </c>
      <c r="D841" s="0" t="n">
        <v>263</v>
      </c>
      <c r="E841" s="0" t="n">
        <v>55</v>
      </c>
      <c r="F841" s="0" t="n">
        <v>22</v>
      </c>
      <c r="G841" s="0" t="n">
        <v>13</v>
      </c>
      <c r="H841" s="0" t="n">
        <v>2</v>
      </c>
      <c r="I841" s="0" t="n">
        <v>9164.79</v>
      </c>
      <c r="J841" s="0" t="n">
        <v>3236.83</v>
      </c>
    </row>
    <row r="842" customFormat="false" ht="15" hidden="false" customHeight="false" outlineLevel="0" collapsed="false">
      <c r="A842" s="0" t="s">
        <v>123</v>
      </c>
      <c r="B842" s="0" t="s">
        <v>11</v>
      </c>
      <c r="C842" s="0" t="n">
        <v>4521</v>
      </c>
      <c r="D842" s="0" t="n">
        <v>389</v>
      </c>
      <c r="E842" s="0" t="n">
        <v>116</v>
      </c>
      <c r="F842" s="0" t="n">
        <v>69</v>
      </c>
      <c r="G842" s="0" t="n">
        <v>57</v>
      </c>
      <c r="H842" s="0" t="n">
        <v>20</v>
      </c>
      <c r="I842" s="0" t="n">
        <v>111473.87</v>
      </c>
      <c r="J842" s="0" t="n">
        <v>1944.07</v>
      </c>
    </row>
    <row r="843" customFormat="false" ht="15" hidden="false" customHeight="false" outlineLevel="0" collapsed="false">
      <c r="A843" s="0" t="s">
        <v>123</v>
      </c>
      <c r="B843" s="0" t="s">
        <v>12</v>
      </c>
      <c r="C843" s="0" t="n">
        <v>19538</v>
      </c>
      <c r="D843" s="0" t="n">
        <v>529</v>
      </c>
      <c r="E843" s="0" t="n">
        <v>103</v>
      </c>
      <c r="F843" s="0" t="n">
        <v>44</v>
      </c>
      <c r="G843" s="0" t="n">
        <v>34</v>
      </c>
      <c r="H843" s="0" t="n">
        <v>7</v>
      </c>
      <c r="I843" s="0" t="n">
        <v>35884.3</v>
      </c>
      <c r="J843" s="0" t="n">
        <v>4828.13</v>
      </c>
    </row>
    <row r="844" customFormat="false" ht="15" hidden="false" customHeight="false" outlineLevel="0" collapsed="false">
      <c r="A844" s="0" t="s">
        <v>123</v>
      </c>
      <c r="B844" s="0" t="s">
        <v>13</v>
      </c>
      <c r="C844" s="0" t="n">
        <v>12722</v>
      </c>
      <c r="D844" s="0" t="n">
        <v>410</v>
      </c>
      <c r="E844" s="0" t="n">
        <v>115</v>
      </c>
      <c r="F844" s="0" t="n">
        <v>64</v>
      </c>
      <c r="G844" s="0" t="n">
        <v>50</v>
      </c>
      <c r="H844" s="0" t="n">
        <v>12</v>
      </c>
      <c r="I844" s="0" t="n">
        <v>63229.23</v>
      </c>
      <c r="J844" s="0" t="n">
        <v>7123.17</v>
      </c>
    </row>
    <row r="845" customFormat="false" ht="15" hidden="false" customHeight="false" outlineLevel="0" collapsed="false">
      <c r="A845" s="0" t="s">
        <v>123</v>
      </c>
      <c r="B845" s="0" t="s">
        <v>14</v>
      </c>
      <c r="C845" s="0" t="n">
        <v>17381</v>
      </c>
      <c r="D845" s="0" t="n">
        <v>209</v>
      </c>
      <c r="E845" s="0" t="n">
        <v>31</v>
      </c>
      <c r="F845" s="0" t="n">
        <v>15</v>
      </c>
      <c r="G845" s="0" t="n">
        <v>9</v>
      </c>
      <c r="H845" s="0" t="n">
        <v>1</v>
      </c>
      <c r="I845" s="0" t="n">
        <v>5523.69</v>
      </c>
      <c r="J845" s="0" t="n">
        <v>2297.18</v>
      </c>
    </row>
    <row r="846" customFormat="false" ht="15" hidden="false" customHeight="false" outlineLevel="0" collapsed="false">
      <c r="A846" s="0" t="s">
        <v>123</v>
      </c>
      <c r="B846" s="0" t="s">
        <v>15</v>
      </c>
      <c r="C846" s="0" t="n">
        <v>3908</v>
      </c>
      <c r="D846" s="0" t="n">
        <v>155</v>
      </c>
      <c r="E846" s="0" t="n">
        <v>38</v>
      </c>
      <c r="F846" s="0" t="n">
        <v>23</v>
      </c>
      <c r="G846" s="0" t="n">
        <v>19</v>
      </c>
      <c r="H846" s="0" t="n">
        <v>6</v>
      </c>
      <c r="I846" s="0" t="n">
        <v>76736.38</v>
      </c>
      <c r="J846" s="0" t="n">
        <v>5540.95</v>
      </c>
    </row>
    <row r="847" customFormat="false" ht="15" hidden="false" customHeight="false" outlineLevel="0" collapsed="false">
      <c r="A847" s="0" t="s">
        <v>123</v>
      </c>
      <c r="B847" s="0" t="s">
        <v>16</v>
      </c>
      <c r="C847" s="0" t="n">
        <v>8524</v>
      </c>
      <c r="D847" s="0" t="n">
        <v>395</v>
      </c>
      <c r="E847" s="0" t="n">
        <v>84</v>
      </c>
      <c r="F847" s="0" t="n">
        <v>44</v>
      </c>
      <c r="G847" s="0" t="n">
        <v>34</v>
      </c>
      <c r="H847" s="0" t="n">
        <v>14</v>
      </c>
      <c r="I847" s="0" t="n">
        <v>93756.17</v>
      </c>
      <c r="J847" s="0" t="n">
        <v>1165.32</v>
      </c>
    </row>
    <row r="848" customFormat="false" ht="15" hidden="false" customHeight="false" outlineLevel="0" collapsed="false">
      <c r="A848" s="0" t="s">
        <v>123</v>
      </c>
      <c r="B848" s="0" t="s">
        <v>17</v>
      </c>
      <c r="C848" s="0" t="n">
        <v>3643</v>
      </c>
      <c r="D848" s="0" t="n">
        <v>483</v>
      </c>
      <c r="E848" s="0" t="n">
        <v>198</v>
      </c>
      <c r="F848" s="0" t="n">
        <v>145</v>
      </c>
      <c r="G848" s="0" t="n">
        <v>122</v>
      </c>
      <c r="H848" s="0" t="n">
        <v>50</v>
      </c>
      <c r="I848" s="0" t="n">
        <v>393088.65</v>
      </c>
      <c r="J848" s="0" t="n">
        <v>898.22</v>
      </c>
    </row>
    <row r="849" customFormat="false" ht="15" hidden="false" customHeight="false" outlineLevel="0" collapsed="false">
      <c r="A849" s="0" t="s">
        <v>123</v>
      </c>
      <c r="B849" s="0" t="s">
        <v>18</v>
      </c>
      <c r="C849" s="0" t="n">
        <v>10157</v>
      </c>
      <c r="D849" s="0" t="n">
        <v>193</v>
      </c>
      <c r="E849" s="0" t="n">
        <v>42</v>
      </c>
      <c r="F849" s="0" t="n">
        <v>15</v>
      </c>
      <c r="G849" s="0" t="n">
        <v>9</v>
      </c>
      <c r="H849" s="0" t="n">
        <v>1</v>
      </c>
      <c r="I849" s="0" t="n">
        <v>4631.87</v>
      </c>
      <c r="J849" s="0" t="n">
        <v>2901.05</v>
      </c>
    </row>
    <row r="850" customFormat="false" ht="15" hidden="false" customHeight="false" outlineLevel="0" collapsed="false">
      <c r="A850" s="0" t="s">
        <v>124</v>
      </c>
      <c r="B850" s="0" t="s">
        <v>11</v>
      </c>
      <c r="C850" s="0" t="n">
        <v>4177</v>
      </c>
      <c r="D850" s="0" t="n">
        <v>606</v>
      </c>
      <c r="E850" s="0" t="n">
        <v>233</v>
      </c>
      <c r="F850" s="0" t="n">
        <v>144</v>
      </c>
      <c r="G850" s="0" t="n">
        <v>114</v>
      </c>
      <c r="H850" s="0" t="n">
        <v>40</v>
      </c>
      <c r="I850" s="0" t="n">
        <v>277261.64</v>
      </c>
      <c r="J850" s="0" t="n">
        <v>2984.99</v>
      </c>
    </row>
    <row r="851" customFormat="false" ht="15" hidden="false" customHeight="false" outlineLevel="0" collapsed="false">
      <c r="A851" s="0" t="s">
        <v>124</v>
      </c>
      <c r="B851" s="0" t="s">
        <v>12</v>
      </c>
      <c r="C851" s="0" t="n">
        <v>12781</v>
      </c>
      <c r="D851" s="0" t="n">
        <v>252</v>
      </c>
      <c r="E851" s="0" t="n">
        <v>49</v>
      </c>
      <c r="F851" s="0" t="n">
        <v>21</v>
      </c>
      <c r="G851" s="0" t="n">
        <v>16</v>
      </c>
      <c r="H851" s="0" t="n">
        <v>3</v>
      </c>
      <c r="I851" s="0" t="n">
        <v>15160.9</v>
      </c>
      <c r="J851" s="0" t="n">
        <v>2188.95</v>
      </c>
    </row>
    <row r="852" customFormat="false" ht="15" hidden="false" customHeight="false" outlineLevel="0" collapsed="false">
      <c r="A852" s="0" t="s">
        <v>124</v>
      </c>
      <c r="B852" s="0" t="s">
        <v>13</v>
      </c>
      <c r="C852" s="0" t="n">
        <v>12292</v>
      </c>
      <c r="D852" s="0" t="n">
        <v>691</v>
      </c>
      <c r="E852" s="0" t="n">
        <v>203</v>
      </c>
      <c r="F852" s="0" t="n">
        <v>126</v>
      </c>
      <c r="G852" s="0" t="n">
        <v>104</v>
      </c>
      <c r="H852" s="0" t="n">
        <v>31</v>
      </c>
      <c r="I852" s="0" t="n">
        <v>183225.86</v>
      </c>
      <c r="J852" s="0" t="n">
        <v>15380.89</v>
      </c>
    </row>
    <row r="853" customFormat="false" ht="15" hidden="false" customHeight="false" outlineLevel="0" collapsed="false">
      <c r="A853" s="0" t="s">
        <v>124</v>
      </c>
      <c r="B853" s="0" t="s">
        <v>14</v>
      </c>
      <c r="C853" s="0" t="n">
        <v>7628</v>
      </c>
      <c r="D853" s="0" t="n">
        <v>105</v>
      </c>
      <c r="E853" s="0" t="n">
        <v>15</v>
      </c>
      <c r="F853" s="0" t="n">
        <v>6</v>
      </c>
      <c r="G853" s="0" t="n">
        <v>4</v>
      </c>
      <c r="H853" s="0" t="n">
        <v>1</v>
      </c>
      <c r="I853" s="0" t="n">
        <v>4652.64</v>
      </c>
      <c r="J853" s="0" t="n">
        <v>1278.51</v>
      </c>
    </row>
    <row r="854" customFormat="false" ht="15" hidden="false" customHeight="false" outlineLevel="0" collapsed="false">
      <c r="A854" s="0" t="s">
        <v>124</v>
      </c>
      <c r="B854" s="0" t="s">
        <v>15</v>
      </c>
      <c r="C854" s="0" t="n">
        <v>3334</v>
      </c>
      <c r="D854" s="0" t="n">
        <v>87</v>
      </c>
      <c r="E854" s="0" t="n">
        <v>22</v>
      </c>
      <c r="F854" s="0" t="n">
        <v>13</v>
      </c>
      <c r="G854" s="0" t="n">
        <v>9</v>
      </c>
      <c r="H854" s="0" t="n">
        <v>3</v>
      </c>
      <c r="I854" s="0" t="n">
        <v>31963.22</v>
      </c>
      <c r="J854" s="0" t="n">
        <v>3440.23</v>
      </c>
    </row>
    <row r="855" customFormat="false" ht="15" hidden="false" customHeight="false" outlineLevel="0" collapsed="false">
      <c r="A855" s="0" t="s">
        <v>124</v>
      </c>
      <c r="B855" s="0" t="s">
        <v>16</v>
      </c>
      <c r="C855" s="0" t="n">
        <v>7937</v>
      </c>
      <c r="D855" s="0" t="n">
        <v>574</v>
      </c>
      <c r="E855" s="0" t="n">
        <v>123</v>
      </c>
      <c r="F855" s="0" t="n">
        <v>64</v>
      </c>
      <c r="G855" s="0" t="n">
        <v>48</v>
      </c>
      <c r="H855" s="0" t="n">
        <v>18</v>
      </c>
      <c r="I855" s="0" t="n">
        <v>112806.53</v>
      </c>
      <c r="J855" s="0" t="n">
        <v>1643.41</v>
      </c>
    </row>
    <row r="856" customFormat="false" ht="15" hidden="false" customHeight="false" outlineLevel="0" collapsed="false">
      <c r="A856" s="0" t="s">
        <v>124</v>
      </c>
      <c r="B856" s="0" t="s">
        <v>17</v>
      </c>
      <c r="C856" s="0" t="n">
        <v>2534</v>
      </c>
      <c r="D856" s="0" t="n">
        <v>486</v>
      </c>
      <c r="E856" s="0" t="n">
        <v>238</v>
      </c>
      <c r="F856" s="0" t="n">
        <v>158</v>
      </c>
      <c r="G856" s="0" t="n">
        <v>129</v>
      </c>
      <c r="H856" s="0" t="n">
        <v>59</v>
      </c>
      <c r="I856" s="0" t="n">
        <v>584339.92</v>
      </c>
      <c r="J856" s="0" t="n">
        <v>640.93</v>
      </c>
    </row>
    <row r="857" customFormat="false" ht="15" hidden="false" customHeight="false" outlineLevel="0" collapsed="false">
      <c r="A857" s="0" t="s">
        <v>124</v>
      </c>
      <c r="B857" s="0" t="s">
        <v>18</v>
      </c>
      <c r="C857" s="0" t="n">
        <v>11403</v>
      </c>
      <c r="D857" s="0" t="n">
        <v>152</v>
      </c>
      <c r="E857" s="0" t="n">
        <v>24</v>
      </c>
      <c r="F857" s="0" t="n">
        <v>8</v>
      </c>
      <c r="G857" s="0" t="n">
        <v>5</v>
      </c>
      <c r="H857" s="0" t="n">
        <v>0</v>
      </c>
      <c r="I857" s="0" t="n">
        <v>0</v>
      </c>
      <c r="J857" s="0" t="n">
        <v>2152.75</v>
      </c>
    </row>
    <row r="858" customFormat="false" ht="15" hidden="false" customHeight="false" outlineLevel="0" collapsed="false">
      <c r="A858" s="0" t="s">
        <v>125</v>
      </c>
      <c r="B858" s="0" t="s">
        <v>11</v>
      </c>
      <c r="C858" s="0" t="n">
        <v>6836</v>
      </c>
      <c r="D858" s="0" t="n">
        <v>645</v>
      </c>
      <c r="E858" s="0" t="n">
        <v>214</v>
      </c>
      <c r="F858" s="0" t="n">
        <v>127</v>
      </c>
      <c r="G858" s="0" t="n">
        <v>107</v>
      </c>
      <c r="H858" s="0" t="n">
        <v>42</v>
      </c>
      <c r="I858" s="0" t="n">
        <v>240090.4</v>
      </c>
      <c r="J858" s="0" t="n">
        <v>1690.3</v>
      </c>
    </row>
    <row r="859" customFormat="false" ht="15" hidden="false" customHeight="false" outlineLevel="0" collapsed="false">
      <c r="A859" s="0" t="s">
        <v>125</v>
      </c>
      <c r="B859" s="0" t="s">
        <v>12</v>
      </c>
      <c r="C859" s="0" t="n">
        <v>15535</v>
      </c>
      <c r="D859" s="0" t="n">
        <v>297</v>
      </c>
      <c r="E859" s="0" t="n">
        <v>71</v>
      </c>
      <c r="F859" s="0" t="n">
        <v>35</v>
      </c>
      <c r="G859" s="0" t="n">
        <v>23</v>
      </c>
      <c r="H859" s="0" t="n">
        <v>6</v>
      </c>
      <c r="I859" s="0" t="n">
        <v>24932.55</v>
      </c>
      <c r="J859" s="0" t="n">
        <v>4367.2</v>
      </c>
    </row>
    <row r="860" customFormat="false" ht="15" hidden="false" customHeight="false" outlineLevel="0" collapsed="false">
      <c r="A860" s="0" t="s">
        <v>125</v>
      </c>
      <c r="B860" s="0" t="s">
        <v>13</v>
      </c>
      <c r="C860" s="0" t="n">
        <v>10990</v>
      </c>
      <c r="D860" s="0" t="n">
        <v>353</v>
      </c>
      <c r="E860" s="0" t="n">
        <v>78</v>
      </c>
      <c r="F860" s="0" t="n">
        <v>49</v>
      </c>
      <c r="G860" s="0" t="n">
        <v>40</v>
      </c>
      <c r="H860" s="0" t="n">
        <v>13</v>
      </c>
      <c r="I860" s="0" t="n">
        <v>77753.26</v>
      </c>
      <c r="J860" s="0" t="n">
        <v>5010.49</v>
      </c>
    </row>
    <row r="861" customFormat="false" ht="15" hidden="false" customHeight="false" outlineLevel="0" collapsed="false">
      <c r="A861" s="0" t="s">
        <v>125</v>
      </c>
      <c r="B861" s="0" t="s">
        <v>14</v>
      </c>
      <c r="C861" s="0" t="n">
        <v>12855</v>
      </c>
      <c r="D861" s="0" t="n">
        <v>216</v>
      </c>
      <c r="E861" s="0" t="n">
        <v>35</v>
      </c>
      <c r="F861" s="0" t="n">
        <v>14</v>
      </c>
      <c r="G861" s="0" t="n">
        <v>9</v>
      </c>
      <c r="H861" s="0" t="n">
        <v>2</v>
      </c>
      <c r="I861" s="0" t="n">
        <v>7931.66</v>
      </c>
      <c r="J861" s="0" t="n">
        <v>2272.65</v>
      </c>
    </row>
    <row r="862" customFormat="false" ht="15" hidden="false" customHeight="false" outlineLevel="0" collapsed="false">
      <c r="A862" s="0" t="s">
        <v>125</v>
      </c>
      <c r="B862" s="0" t="s">
        <v>15</v>
      </c>
      <c r="C862" s="0" t="n">
        <v>4480</v>
      </c>
      <c r="D862" s="0" t="n">
        <v>120</v>
      </c>
      <c r="E862" s="0" t="n">
        <v>31</v>
      </c>
      <c r="F862" s="0" t="n">
        <v>20</v>
      </c>
      <c r="G862" s="0" t="n">
        <v>14</v>
      </c>
      <c r="H862" s="0" t="n">
        <v>4</v>
      </c>
      <c r="I862" s="0" t="n">
        <v>45311.75</v>
      </c>
      <c r="J862" s="0" t="n">
        <v>5445.03</v>
      </c>
    </row>
    <row r="863" customFormat="false" ht="15" hidden="false" customHeight="false" outlineLevel="0" collapsed="false">
      <c r="A863" s="0" t="s">
        <v>125</v>
      </c>
      <c r="B863" s="0" t="s">
        <v>16</v>
      </c>
      <c r="C863" s="0" t="n">
        <v>7344</v>
      </c>
      <c r="D863" s="0" t="n">
        <v>443</v>
      </c>
      <c r="E863" s="0" t="n">
        <v>104</v>
      </c>
      <c r="F863" s="0" t="n">
        <v>61</v>
      </c>
      <c r="G863" s="0" t="n">
        <v>48</v>
      </c>
      <c r="H863" s="0" t="n">
        <v>18</v>
      </c>
      <c r="I863" s="0" t="n">
        <v>156396.76</v>
      </c>
      <c r="J863" s="0" t="n">
        <v>878.68</v>
      </c>
    </row>
    <row r="864" customFormat="false" ht="15" hidden="false" customHeight="false" outlineLevel="0" collapsed="false">
      <c r="A864" s="0" t="s">
        <v>125</v>
      </c>
      <c r="B864" s="0" t="s">
        <v>17</v>
      </c>
      <c r="C864" s="0" t="n">
        <v>3420</v>
      </c>
      <c r="D864" s="0" t="n">
        <v>343</v>
      </c>
      <c r="E864" s="0" t="n">
        <v>148</v>
      </c>
      <c r="F864" s="0" t="n">
        <v>102</v>
      </c>
      <c r="G864" s="0" t="n">
        <v>81</v>
      </c>
      <c r="H864" s="0" t="n">
        <v>34</v>
      </c>
      <c r="I864" s="0" t="n">
        <v>303623.71</v>
      </c>
      <c r="J864" s="0" t="n">
        <v>368.92</v>
      </c>
    </row>
    <row r="865" customFormat="false" ht="15" hidden="false" customHeight="false" outlineLevel="0" collapsed="false">
      <c r="A865" s="0" t="s">
        <v>125</v>
      </c>
      <c r="B865" s="0" t="s">
        <v>18</v>
      </c>
      <c r="C865" s="0" t="n">
        <v>6837</v>
      </c>
      <c r="D865" s="0" t="n">
        <v>75</v>
      </c>
      <c r="E865" s="0" t="n">
        <v>12</v>
      </c>
      <c r="F865" s="0" t="n">
        <v>5</v>
      </c>
      <c r="G865" s="0" t="n">
        <v>3</v>
      </c>
      <c r="H865" s="0" t="n">
        <v>0</v>
      </c>
      <c r="I865" s="0" t="n">
        <v>0</v>
      </c>
      <c r="J865" s="0" t="n">
        <v>1062.05</v>
      </c>
    </row>
    <row r="866" customFormat="false" ht="15" hidden="false" customHeight="false" outlineLevel="0" collapsed="false">
      <c r="A866" s="0" t="s">
        <v>126</v>
      </c>
      <c r="B866" s="0" t="s">
        <v>11</v>
      </c>
      <c r="C866" s="0" t="n">
        <v>4956</v>
      </c>
      <c r="D866" s="0" t="n">
        <v>661</v>
      </c>
      <c r="E866" s="0" t="n">
        <v>207</v>
      </c>
      <c r="F866" s="0" t="n">
        <v>118</v>
      </c>
      <c r="G866" s="0" t="n">
        <v>98</v>
      </c>
      <c r="H866" s="0" t="n">
        <v>29</v>
      </c>
      <c r="I866" s="0" t="n">
        <v>172478.85</v>
      </c>
      <c r="J866" s="0" t="n">
        <v>2814.66</v>
      </c>
    </row>
    <row r="867" customFormat="false" ht="15" hidden="false" customHeight="false" outlineLevel="0" collapsed="false">
      <c r="A867" s="0" t="s">
        <v>126</v>
      </c>
      <c r="B867" s="0" t="s">
        <v>12</v>
      </c>
      <c r="C867" s="0" t="n">
        <v>16330</v>
      </c>
      <c r="D867" s="0" t="n">
        <v>256</v>
      </c>
      <c r="E867" s="0" t="n">
        <v>43</v>
      </c>
      <c r="F867" s="0" t="n">
        <v>20</v>
      </c>
      <c r="G867" s="0" t="n">
        <v>14</v>
      </c>
      <c r="H867" s="0" t="n">
        <v>2</v>
      </c>
      <c r="I867" s="0" t="n">
        <v>10596.62</v>
      </c>
      <c r="J867" s="0" t="n">
        <v>2770.25</v>
      </c>
    </row>
    <row r="868" customFormat="false" ht="15" hidden="false" customHeight="false" outlineLevel="0" collapsed="false">
      <c r="A868" s="0" t="s">
        <v>126</v>
      </c>
      <c r="B868" s="0" t="s">
        <v>13</v>
      </c>
      <c r="C868" s="0" t="n">
        <v>5954</v>
      </c>
      <c r="D868" s="0" t="n">
        <v>217</v>
      </c>
      <c r="E868" s="0" t="n">
        <v>49</v>
      </c>
      <c r="F868" s="0" t="n">
        <v>25</v>
      </c>
      <c r="G868" s="0" t="n">
        <v>18</v>
      </c>
      <c r="H868" s="0" t="n">
        <v>6</v>
      </c>
      <c r="I868" s="0" t="n">
        <v>37415.04</v>
      </c>
      <c r="J868" s="0" t="n">
        <v>4373.3</v>
      </c>
    </row>
    <row r="869" customFormat="false" ht="15" hidden="false" customHeight="false" outlineLevel="0" collapsed="false">
      <c r="A869" s="0" t="s">
        <v>126</v>
      </c>
      <c r="B869" s="0" t="s">
        <v>14</v>
      </c>
      <c r="C869" s="0" t="n">
        <v>12476</v>
      </c>
      <c r="D869" s="0" t="n">
        <v>277</v>
      </c>
      <c r="E869" s="0" t="n">
        <v>44</v>
      </c>
      <c r="F869" s="0" t="n">
        <v>17</v>
      </c>
      <c r="G869" s="0" t="n">
        <v>11</v>
      </c>
      <c r="H869" s="0" t="n">
        <v>2</v>
      </c>
      <c r="I869" s="0" t="n">
        <v>9500.68</v>
      </c>
      <c r="J869" s="0" t="n">
        <v>3776.44</v>
      </c>
    </row>
    <row r="870" customFormat="false" ht="15" hidden="false" customHeight="false" outlineLevel="0" collapsed="false">
      <c r="A870" s="0" t="s">
        <v>126</v>
      </c>
      <c r="B870" s="0" t="s">
        <v>15</v>
      </c>
      <c r="C870" s="0" t="n">
        <v>2778</v>
      </c>
      <c r="D870" s="0" t="n">
        <v>98</v>
      </c>
      <c r="E870" s="0" t="n">
        <v>22</v>
      </c>
      <c r="F870" s="0" t="n">
        <v>14</v>
      </c>
      <c r="G870" s="0" t="n">
        <v>11</v>
      </c>
      <c r="H870" s="0" t="n">
        <v>4</v>
      </c>
      <c r="I870" s="0" t="n">
        <v>40939.29</v>
      </c>
      <c r="J870" s="0" t="n">
        <v>4259.1</v>
      </c>
    </row>
    <row r="871" customFormat="false" ht="15" hidden="false" customHeight="false" outlineLevel="0" collapsed="false">
      <c r="A871" s="0" t="s">
        <v>126</v>
      </c>
      <c r="B871" s="0" t="s">
        <v>16</v>
      </c>
      <c r="C871" s="0" t="n">
        <v>8517</v>
      </c>
      <c r="D871" s="0" t="n">
        <v>343</v>
      </c>
      <c r="E871" s="0" t="n">
        <v>91</v>
      </c>
      <c r="F871" s="0" t="n">
        <v>48</v>
      </c>
      <c r="G871" s="0" t="n">
        <v>35</v>
      </c>
      <c r="H871" s="0" t="n">
        <v>14</v>
      </c>
      <c r="I871" s="0" t="n">
        <v>124151.16</v>
      </c>
      <c r="J871" s="0" t="n">
        <v>825</v>
      </c>
    </row>
    <row r="872" customFormat="false" ht="15" hidden="false" customHeight="false" outlineLevel="0" collapsed="false">
      <c r="A872" s="0" t="s">
        <v>126</v>
      </c>
      <c r="B872" s="0" t="s">
        <v>17</v>
      </c>
      <c r="C872" s="0" t="n">
        <v>2204</v>
      </c>
      <c r="D872" s="0" t="n">
        <v>308</v>
      </c>
      <c r="E872" s="0" t="n">
        <v>152</v>
      </c>
      <c r="F872" s="0" t="n">
        <v>108</v>
      </c>
      <c r="G872" s="0" t="n">
        <v>87</v>
      </c>
      <c r="H872" s="0" t="n">
        <v>35</v>
      </c>
      <c r="I872" s="0" t="n">
        <v>283029.07</v>
      </c>
      <c r="J872" s="0" t="n">
        <v>827.01</v>
      </c>
    </row>
    <row r="873" customFormat="false" ht="15" hidden="false" customHeight="false" outlineLevel="0" collapsed="false">
      <c r="A873" s="0" t="s">
        <v>126</v>
      </c>
      <c r="B873" s="0" t="s">
        <v>18</v>
      </c>
      <c r="C873" s="0" t="n">
        <v>8179</v>
      </c>
      <c r="D873" s="0" t="n">
        <v>158</v>
      </c>
      <c r="E873" s="0" t="n">
        <v>25</v>
      </c>
      <c r="F873" s="0" t="n">
        <v>11</v>
      </c>
      <c r="G873" s="0" t="n">
        <v>6</v>
      </c>
      <c r="H873" s="0" t="n">
        <v>1</v>
      </c>
      <c r="I873" s="0" t="n">
        <v>4872.09</v>
      </c>
      <c r="J873" s="0" t="n">
        <v>2443.65</v>
      </c>
    </row>
    <row r="874" customFormat="false" ht="15" hidden="false" customHeight="false" outlineLevel="0" collapsed="false">
      <c r="A874" s="0" t="s">
        <v>127</v>
      </c>
      <c r="B874" s="0" t="s">
        <v>11</v>
      </c>
      <c r="C874" s="0" t="n">
        <v>3575</v>
      </c>
      <c r="D874" s="0" t="n">
        <v>338</v>
      </c>
      <c r="E874" s="0" t="n">
        <v>109</v>
      </c>
      <c r="F874" s="0" t="n">
        <v>68</v>
      </c>
      <c r="G874" s="0" t="n">
        <v>52</v>
      </c>
      <c r="H874" s="0" t="n">
        <v>16</v>
      </c>
      <c r="I874" s="0" t="n">
        <v>107700.64</v>
      </c>
      <c r="J874" s="0" t="n">
        <v>1187.32</v>
      </c>
    </row>
    <row r="875" customFormat="false" ht="15" hidden="false" customHeight="false" outlineLevel="0" collapsed="false">
      <c r="A875" s="0" t="s">
        <v>127</v>
      </c>
      <c r="B875" s="0" t="s">
        <v>12</v>
      </c>
      <c r="C875" s="0" t="n">
        <v>15393</v>
      </c>
      <c r="D875" s="0" t="n">
        <v>300</v>
      </c>
      <c r="E875" s="0" t="n">
        <v>57</v>
      </c>
      <c r="F875" s="0" t="n">
        <v>26</v>
      </c>
      <c r="G875" s="0" t="n">
        <v>17</v>
      </c>
      <c r="H875" s="0" t="n">
        <v>3</v>
      </c>
      <c r="I875" s="0" t="n">
        <v>13444.28</v>
      </c>
      <c r="J875" s="0" t="n">
        <v>4388.5</v>
      </c>
    </row>
    <row r="876" customFormat="false" ht="15" hidden="false" customHeight="false" outlineLevel="0" collapsed="false">
      <c r="A876" s="0" t="s">
        <v>127</v>
      </c>
      <c r="B876" s="0" t="s">
        <v>13</v>
      </c>
      <c r="C876" s="0" t="n">
        <v>10613</v>
      </c>
      <c r="D876" s="0" t="n">
        <v>581</v>
      </c>
      <c r="E876" s="0" t="n">
        <v>161</v>
      </c>
      <c r="F876" s="0" t="n">
        <v>81</v>
      </c>
      <c r="G876" s="0" t="n">
        <v>59</v>
      </c>
      <c r="H876" s="0" t="n">
        <v>17</v>
      </c>
      <c r="I876" s="0" t="n">
        <v>127582.8</v>
      </c>
      <c r="J876" s="0" t="n">
        <v>13565.32</v>
      </c>
    </row>
    <row r="877" customFormat="false" ht="15" hidden="false" customHeight="false" outlineLevel="0" collapsed="false">
      <c r="A877" s="0" t="s">
        <v>127</v>
      </c>
      <c r="B877" s="0" t="s">
        <v>14</v>
      </c>
      <c r="C877" s="0" t="n">
        <v>8193</v>
      </c>
      <c r="D877" s="0" t="n">
        <v>109</v>
      </c>
      <c r="E877" s="0" t="n">
        <v>23</v>
      </c>
      <c r="F877" s="0" t="n">
        <v>10</v>
      </c>
      <c r="G877" s="0" t="n">
        <v>7</v>
      </c>
      <c r="H877" s="0" t="n">
        <v>1</v>
      </c>
      <c r="I877" s="0" t="n">
        <v>5043.01</v>
      </c>
      <c r="J877" s="0" t="n">
        <v>1026.71</v>
      </c>
    </row>
    <row r="878" customFormat="false" ht="15" hidden="false" customHeight="false" outlineLevel="0" collapsed="false">
      <c r="A878" s="0" t="s">
        <v>127</v>
      </c>
      <c r="B878" s="0" t="s">
        <v>15</v>
      </c>
      <c r="C878" s="0" t="n">
        <v>1831</v>
      </c>
      <c r="D878" s="0" t="n">
        <v>43</v>
      </c>
      <c r="E878" s="0" t="n">
        <v>11</v>
      </c>
      <c r="F878" s="0" t="n">
        <v>7</v>
      </c>
      <c r="G878" s="0" t="n">
        <v>5</v>
      </c>
      <c r="H878" s="0" t="n">
        <v>1</v>
      </c>
      <c r="I878" s="0" t="n">
        <v>10001.21</v>
      </c>
      <c r="J878" s="0" t="n">
        <v>1748.86</v>
      </c>
    </row>
    <row r="879" customFormat="false" ht="15" hidden="false" customHeight="false" outlineLevel="0" collapsed="false">
      <c r="A879" s="0" t="s">
        <v>127</v>
      </c>
      <c r="B879" s="0" t="s">
        <v>16</v>
      </c>
      <c r="C879" s="0" t="n">
        <v>6946</v>
      </c>
      <c r="D879" s="0" t="n">
        <v>299</v>
      </c>
      <c r="E879" s="0" t="n">
        <v>68</v>
      </c>
      <c r="F879" s="0" t="n">
        <v>39</v>
      </c>
      <c r="G879" s="0" t="n">
        <v>29</v>
      </c>
      <c r="H879" s="0" t="n">
        <v>12</v>
      </c>
      <c r="I879" s="0" t="n">
        <v>100535.85</v>
      </c>
      <c r="J879" s="0" t="n">
        <v>872.84</v>
      </c>
    </row>
    <row r="880" customFormat="false" ht="15" hidden="false" customHeight="false" outlineLevel="0" collapsed="false">
      <c r="A880" s="0" t="s">
        <v>127</v>
      </c>
      <c r="B880" s="0" t="s">
        <v>17</v>
      </c>
      <c r="C880" s="0" t="n">
        <v>2389</v>
      </c>
      <c r="D880" s="0" t="n">
        <v>356</v>
      </c>
      <c r="E880" s="0" t="n">
        <v>143</v>
      </c>
      <c r="F880" s="0" t="n">
        <v>107</v>
      </c>
      <c r="G880" s="0" t="n">
        <v>87</v>
      </c>
      <c r="H880" s="0" t="n">
        <v>36</v>
      </c>
      <c r="I880" s="0" t="n">
        <v>282703.14</v>
      </c>
      <c r="J880" s="0" t="n">
        <v>830.7</v>
      </c>
    </row>
    <row r="881" customFormat="false" ht="15" hidden="false" customHeight="false" outlineLevel="0" collapsed="false">
      <c r="A881" s="0" t="s">
        <v>127</v>
      </c>
      <c r="B881" s="0" t="s">
        <v>18</v>
      </c>
      <c r="C881" s="0" t="n">
        <v>7735</v>
      </c>
      <c r="D881" s="0" t="n">
        <v>168</v>
      </c>
      <c r="E881" s="0" t="n">
        <v>30</v>
      </c>
      <c r="F881" s="0" t="n">
        <v>14</v>
      </c>
      <c r="G881" s="0" t="n">
        <v>8</v>
      </c>
      <c r="H881" s="0" t="n">
        <v>1</v>
      </c>
      <c r="I881" s="0" t="n">
        <v>5327.25</v>
      </c>
      <c r="J881" s="0" t="n">
        <v>2583.32</v>
      </c>
    </row>
    <row r="882" customFormat="false" ht="15" hidden="false" customHeight="false" outlineLevel="0" collapsed="false">
      <c r="A882" s="0" t="s">
        <v>128</v>
      </c>
      <c r="B882" s="0" t="s">
        <v>11</v>
      </c>
      <c r="C882" s="0" t="n">
        <v>6115</v>
      </c>
      <c r="D882" s="0" t="n">
        <v>521</v>
      </c>
      <c r="E882" s="0" t="n">
        <v>182</v>
      </c>
      <c r="F882" s="0" t="n">
        <v>103</v>
      </c>
      <c r="G882" s="0" t="n">
        <v>83</v>
      </c>
      <c r="H882" s="0" t="n">
        <v>30</v>
      </c>
      <c r="I882" s="0" t="n">
        <v>194297.73</v>
      </c>
      <c r="J882" s="0" t="n">
        <v>1912.14</v>
      </c>
    </row>
    <row r="883" customFormat="false" ht="15" hidden="false" customHeight="false" outlineLevel="0" collapsed="false">
      <c r="A883" s="0" t="s">
        <v>128</v>
      </c>
      <c r="B883" s="0" t="s">
        <v>12</v>
      </c>
      <c r="C883" s="0" t="n">
        <v>10462</v>
      </c>
      <c r="D883" s="0" t="n">
        <v>233</v>
      </c>
      <c r="E883" s="0" t="n">
        <v>55</v>
      </c>
      <c r="F883" s="0" t="n">
        <v>26</v>
      </c>
      <c r="G883" s="0" t="n">
        <v>20</v>
      </c>
      <c r="H883" s="0" t="n">
        <v>4</v>
      </c>
      <c r="I883" s="0" t="n">
        <v>16957.97</v>
      </c>
      <c r="J883" s="0" t="n">
        <v>2663.92</v>
      </c>
    </row>
    <row r="884" customFormat="false" ht="15" hidden="false" customHeight="false" outlineLevel="0" collapsed="false">
      <c r="A884" s="0" t="s">
        <v>128</v>
      </c>
      <c r="B884" s="0" t="s">
        <v>13</v>
      </c>
      <c r="C884" s="0" t="n">
        <v>12839</v>
      </c>
      <c r="D884" s="0" t="n">
        <v>537</v>
      </c>
      <c r="E884" s="0" t="n">
        <v>142</v>
      </c>
      <c r="F884" s="0" t="n">
        <v>74</v>
      </c>
      <c r="G884" s="0" t="n">
        <v>62</v>
      </c>
      <c r="H884" s="0" t="n">
        <v>17</v>
      </c>
      <c r="I884" s="0" t="n">
        <v>86037.4</v>
      </c>
      <c r="J884" s="0" t="n">
        <v>11435.53</v>
      </c>
    </row>
    <row r="885" customFormat="false" ht="15" hidden="false" customHeight="false" outlineLevel="0" collapsed="false">
      <c r="A885" s="0" t="s">
        <v>128</v>
      </c>
      <c r="B885" s="0" t="s">
        <v>14</v>
      </c>
      <c r="C885" s="0" t="n">
        <v>15829</v>
      </c>
      <c r="D885" s="0" t="n">
        <v>252</v>
      </c>
      <c r="E885" s="0" t="n">
        <v>53</v>
      </c>
      <c r="F885" s="0" t="n">
        <v>26</v>
      </c>
      <c r="G885" s="0" t="n">
        <v>20</v>
      </c>
      <c r="H885" s="0" t="n">
        <v>4</v>
      </c>
      <c r="I885" s="0" t="n">
        <v>21428.13</v>
      </c>
      <c r="J885" s="0" t="n">
        <v>2958.39</v>
      </c>
    </row>
    <row r="886" customFormat="false" ht="15" hidden="false" customHeight="false" outlineLevel="0" collapsed="false">
      <c r="A886" s="0" t="s">
        <v>128</v>
      </c>
      <c r="B886" s="0" t="s">
        <v>15</v>
      </c>
      <c r="C886" s="0" t="n">
        <v>2524</v>
      </c>
      <c r="D886" s="0" t="n">
        <v>80</v>
      </c>
      <c r="E886" s="0" t="n">
        <v>14</v>
      </c>
      <c r="F886" s="0" t="n">
        <v>9</v>
      </c>
      <c r="G886" s="0" t="n">
        <v>6</v>
      </c>
      <c r="H886" s="0" t="n">
        <v>1</v>
      </c>
      <c r="I886" s="0" t="n">
        <v>12162.19</v>
      </c>
      <c r="J886" s="0" t="n">
        <v>2984.08</v>
      </c>
    </row>
    <row r="887" customFormat="false" ht="15" hidden="false" customHeight="false" outlineLevel="0" collapsed="false">
      <c r="A887" s="0" t="s">
        <v>128</v>
      </c>
      <c r="B887" s="0" t="s">
        <v>16</v>
      </c>
      <c r="C887" s="0" t="n">
        <v>9020</v>
      </c>
      <c r="D887" s="0" t="n">
        <v>636</v>
      </c>
      <c r="E887" s="0" t="n">
        <v>149</v>
      </c>
      <c r="F887" s="0" t="n">
        <v>81</v>
      </c>
      <c r="G887" s="0" t="n">
        <v>61</v>
      </c>
      <c r="H887" s="0" t="n">
        <v>21</v>
      </c>
      <c r="I887" s="0" t="n">
        <v>164970.86</v>
      </c>
      <c r="J887" s="0" t="n">
        <v>1467.88</v>
      </c>
    </row>
    <row r="888" customFormat="false" ht="15" hidden="false" customHeight="false" outlineLevel="0" collapsed="false">
      <c r="A888" s="0" t="s">
        <v>128</v>
      </c>
      <c r="B888" s="0" t="s">
        <v>17</v>
      </c>
      <c r="C888" s="0" t="n">
        <v>1929</v>
      </c>
      <c r="D888" s="0" t="n">
        <v>209</v>
      </c>
      <c r="E888" s="0" t="n">
        <v>85</v>
      </c>
      <c r="F888" s="0" t="n">
        <v>63</v>
      </c>
      <c r="G888" s="0" t="n">
        <v>53</v>
      </c>
      <c r="H888" s="0" t="n">
        <v>21</v>
      </c>
      <c r="I888" s="0" t="n">
        <v>184326.43</v>
      </c>
      <c r="J888" s="0" t="n">
        <v>358.11</v>
      </c>
    </row>
    <row r="889" customFormat="false" ht="15" hidden="false" customHeight="false" outlineLevel="0" collapsed="false">
      <c r="A889" s="0" t="s">
        <v>128</v>
      </c>
      <c r="B889" s="0" t="s">
        <v>18</v>
      </c>
      <c r="C889" s="0" t="n">
        <v>10849</v>
      </c>
      <c r="D889" s="0" t="n">
        <v>117</v>
      </c>
      <c r="E889" s="0" t="n">
        <v>19</v>
      </c>
      <c r="F889" s="0" t="n">
        <v>9</v>
      </c>
      <c r="G889" s="0" t="n">
        <v>5</v>
      </c>
      <c r="H889" s="0" t="n">
        <v>0</v>
      </c>
      <c r="I889" s="0" t="n">
        <v>0</v>
      </c>
      <c r="J889" s="0" t="n">
        <v>2292.06</v>
      </c>
    </row>
    <row r="890" customFormat="false" ht="15" hidden="false" customHeight="false" outlineLevel="0" collapsed="false">
      <c r="A890" s="0" t="s">
        <v>129</v>
      </c>
      <c r="B890" s="0" t="s">
        <v>11</v>
      </c>
      <c r="C890" s="0" t="n">
        <v>7334</v>
      </c>
      <c r="D890" s="0" t="n">
        <v>908</v>
      </c>
      <c r="E890" s="0" t="n">
        <v>333</v>
      </c>
      <c r="F890" s="0" t="n">
        <v>187</v>
      </c>
      <c r="G890" s="0" t="n">
        <v>157</v>
      </c>
      <c r="H890" s="0" t="n">
        <v>49</v>
      </c>
      <c r="I890" s="0" t="n">
        <v>270952</v>
      </c>
      <c r="J890" s="0" t="n">
        <v>3926.21</v>
      </c>
    </row>
    <row r="891" customFormat="false" ht="15" hidden="false" customHeight="false" outlineLevel="0" collapsed="false">
      <c r="A891" s="0" t="s">
        <v>129</v>
      </c>
      <c r="B891" s="0" t="s">
        <v>12</v>
      </c>
      <c r="C891" s="0" t="n">
        <v>12896</v>
      </c>
      <c r="D891" s="0" t="n">
        <v>230</v>
      </c>
      <c r="E891" s="0" t="n">
        <v>46</v>
      </c>
      <c r="F891" s="0" t="n">
        <v>24</v>
      </c>
      <c r="G891" s="0" t="n">
        <v>18</v>
      </c>
      <c r="H891" s="0" t="n">
        <v>3</v>
      </c>
      <c r="I891" s="0" t="n">
        <v>15431.39</v>
      </c>
      <c r="J891" s="0" t="n">
        <v>2955.04</v>
      </c>
    </row>
    <row r="892" customFormat="false" ht="15" hidden="false" customHeight="false" outlineLevel="0" collapsed="false">
      <c r="A892" s="0" t="s">
        <v>129</v>
      </c>
      <c r="B892" s="0" t="s">
        <v>13</v>
      </c>
      <c r="C892" s="0" t="n">
        <v>7616</v>
      </c>
      <c r="D892" s="0" t="n">
        <v>243</v>
      </c>
      <c r="E892" s="0" t="n">
        <v>49</v>
      </c>
      <c r="F892" s="0" t="n">
        <v>26</v>
      </c>
      <c r="G892" s="0" t="n">
        <v>21</v>
      </c>
      <c r="H892" s="0" t="n">
        <v>6</v>
      </c>
      <c r="I892" s="0" t="n">
        <v>46529.13</v>
      </c>
      <c r="J892" s="0" t="n">
        <v>5152.41</v>
      </c>
    </row>
    <row r="893" customFormat="false" ht="15" hidden="false" customHeight="false" outlineLevel="0" collapsed="false">
      <c r="A893" s="0" t="s">
        <v>129</v>
      </c>
      <c r="B893" s="0" t="s">
        <v>14</v>
      </c>
      <c r="C893" s="0" t="n">
        <v>16982</v>
      </c>
      <c r="D893" s="0" t="n">
        <v>237</v>
      </c>
      <c r="E893" s="0" t="n">
        <v>42</v>
      </c>
      <c r="F893" s="0" t="n">
        <v>21</v>
      </c>
      <c r="G893" s="0" t="n">
        <v>14</v>
      </c>
      <c r="H893" s="0" t="n">
        <v>3</v>
      </c>
      <c r="I893" s="0" t="n">
        <v>13068.86</v>
      </c>
      <c r="J893" s="0" t="n">
        <v>1775.89</v>
      </c>
    </row>
    <row r="894" customFormat="false" ht="15" hidden="false" customHeight="false" outlineLevel="0" collapsed="false">
      <c r="A894" s="0" t="s">
        <v>129</v>
      </c>
      <c r="B894" s="0" t="s">
        <v>15</v>
      </c>
      <c r="C894" s="0" t="n">
        <v>3298</v>
      </c>
      <c r="D894" s="0" t="n">
        <v>128</v>
      </c>
      <c r="E894" s="0" t="n">
        <v>26</v>
      </c>
      <c r="F894" s="0" t="n">
        <v>17</v>
      </c>
      <c r="G894" s="0" t="n">
        <v>13</v>
      </c>
      <c r="H894" s="0" t="n">
        <v>4</v>
      </c>
      <c r="I894" s="0" t="n">
        <v>54770.78</v>
      </c>
      <c r="J894" s="0" t="n">
        <v>5085.29</v>
      </c>
    </row>
    <row r="895" customFormat="false" ht="15" hidden="false" customHeight="false" outlineLevel="0" collapsed="false">
      <c r="A895" s="0" t="s">
        <v>129</v>
      </c>
      <c r="B895" s="0" t="s">
        <v>16</v>
      </c>
      <c r="C895" s="0" t="n">
        <v>14402</v>
      </c>
      <c r="D895" s="0" t="n">
        <v>990</v>
      </c>
      <c r="E895" s="0" t="n">
        <v>257</v>
      </c>
      <c r="F895" s="0" t="n">
        <v>134</v>
      </c>
      <c r="G895" s="0" t="n">
        <v>98</v>
      </c>
      <c r="H895" s="0" t="n">
        <v>40</v>
      </c>
      <c r="I895" s="0" t="n">
        <v>252475.13</v>
      </c>
      <c r="J895" s="0" t="n">
        <v>2514.55</v>
      </c>
    </row>
    <row r="896" customFormat="false" ht="15" hidden="false" customHeight="false" outlineLevel="0" collapsed="false">
      <c r="A896" s="0" t="s">
        <v>129</v>
      </c>
      <c r="B896" s="0" t="s">
        <v>17</v>
      </c>
      <c r="C896" s="0" t="n">
        <v>3887</v>
      </c>
      <c r="D896" s="0" t="n">
        <v>734</v>
      </c>
      <c r="E896" s="0" t="n">
        <v>313</v>
      </c>
      <c r="F896" s="0" t="n">
        <v>229</v>
      </c>
      <c r="G896" s="0" t="n">
        <v>190</v>
      </c>
      <c r="H896" s="0" t="n">
        <v>84</v>
      </c>
      <c r="I896" s="0" t="n">
        <v>734404.08</v>
      </c>
      <c r="J896" s="0" t="n">
        <v>1195.59</v>
      </c>
    </row>
    <row r="897" customFormat="false" ht="15" hidden="false" customHeight="false" outlineLevel="0" collapsed="false">
      <c r="A897" s="0" t="s">
        <v>129</v>
      </c>
      <c r="B897" s="0" t="s">
        <v>18</v>
      </c>
      <c r="C897" s="0" t="n">
        <v>10109</v>
      </c>
      <c r="D897" s="0" t="n">
        <v>184</v>
      </c>
      <c r="E897" s="0" t="n">
        <v>35</v>
      </c>
      <c r="F897" s="0" t="n">
        <v>15</v>
      </c>
      <c r="G897" s="0" t="n">
        <v>10</v>
      </c>
      <c r="H897" s="0" t="n">
        <v>1</v>
      </c>
      <c r="I897" s="0" t="n">
        <v>4916.51</v>
      </c>
      <c r="J897" s="0" t="n">
        <v>3421.94</v>
      </c>
    </row>
    <row r="898" customFormat="false" ht="15" hidden="false" customHeight="false" outlineLevel="0" collapsed="false">
      <c r="A898" s="0" t="s">
        <v>130</v>
      </c>
      <c r="B898" s="0" t="s">
        <v>11</v>
      </c>
      <c r="C898" s="0" t="n">
        <v>4845</v>
      </c>
      <c r="D898" s="0" t="n">
        <v>433</v>
      </c>
      <c r="E898" s="0" t="n">
        <v>152</v>
      </c>
      <c r="F898" s="0" t="n">
        <v>85</v>
      </c>
      <c r="G898" s="0" t="n">
        <v>71</v>
      </c>
      <c r="H898" s="0" t="n">
        <v>22</v>
      </c>
      <c r="I898" s="0" t="n">
        <v>127892.01</v>
      </c>
      <c r="J898" s="0" t="n">
        <v>1194.34</v>
      </c>
    </row>
    <row r="899" customFormat="false" ht="15" hidden="false" customHeight="false" outlineLevel="0" collapsed="false">
      <c r="A899" s="0" t="s">
        <v>130</v>
      </c>
      <c r="B899" s="0" t="s">
        <v>12</v>
      </c>
      <c r="C899" s="0" t="n">
        <v>19900</v>
      </c>
      <c r="D899" s="0" t="n">
        <v>528</v>
      </c>
      <c r="E899" s="0" t="n">
        <v>90</v>
      </c>
      <c r="F899" s="0" t="n">
        <v>42</v>
      </c>
      <c r="G899" s="0" t="n">
        <v>28</v>
      </c>
      <c r="H899" s="0" t="n">
        <v>6</v>
      </c>
      <c r="I899" s="0" t="n">
        <v>33254.7</v>
      </c>
      <c r="J899" s="0" t="n">
        <v>7107.19</v>
      </c>
    </row>
    <row r="900" customFormat="false" ht="15" hidden="false" customHeight="false" outlineLevel="0" collapsed="false">
      <c r="A900" s="0" t="s">
        <v>130</v>
      </c>
      <c r="B900" s="0" t="s">
        <v>13</v>
      </c>
      <c r="C900" s="0" t="n">
        <v>7624</v>
      </c>
      <c r="D900" s="0" t="n">
        <v>284</v>
      </c>
      <c r="E900" s="0" t="n">
        <v>70</v>
      </c>
      <c r="F900" s="0" t="n">
        <v>44</v>
      </c>
      <c r="G900" s="0" t="n">
        <v>33</v>
      </c>
      <c r="H900" s="0" t="n">
        <v>10</v>
      </c>
      <c r="I900" s="0" t="n">
        <v>64281.7</v>
      </c>
      <c r="J900" s="0" t="n">
        <v>4250.97</v>
      </c>
    </row>
    <row r="901" customFormat="false" ht="15" hidden="false" customHeight="false" outlineLevel="0" collapsed="false">
      <c r="A901" s="0" t="s">
        <v>130</v>
      </c>
      <c r="B901" s="0" t="s">
        <v>14</v>
      </c>
      <c r="C901" s="0" t="n">
        <v>9509</v>
      </c>
      <c r="D901" s="0" t="n">
        <v>254</v>
      </c>
      <c r="E901" s="0" t="n">
        <v>46</v>
      </c>
      <c r="F901" s="0" t="n">
        <v>19</v>
      </c>
      <c r="G901" s="0" t="n">
        <v>13</v>
      </c>
      <c r="H901" s="0" t="n">
        <v>3</v>
      </c>
      <c r="I901" s="0" t="n">
        <v>14318.43</v>
      </c>
      <c r="J901" s="0" t="n">
        <v>2773.49</v>
      </c>
    </row>
    <row r="902" customFormat="false" ht="15" hidden="false" customHeight="false" outlineLevel="0" collapsed="false">
      <c r="A902" s="0" t="s">
        <v>130</v>
      </c>
      <c r="B902" s="0" t="s">
        <v>15</v>
      </c>
      <c r="C902" s="0" t="n">
        <v>4019</v>
      </c>
      <c r="D902" s="0" t="n">
        <v>94</v>
      </c>
      <c r="E902" s="0" t="n">
        <v>24</v>
      </c>
      <c r="F902" s="0" t="n">
        <v>16</v>
      </c>
      <c r="G902" s="0" t="n">
        <v>11</v>
      </c>
      <c r="H902" s="0" t="n">
        <v>4</v>
      </c>
      <c r="I902" s="0" t="n">
        <v>58946.14</v>
      </c>
      <c r="J902" s="0" t="n">
        <v>4572.99</v>
      </c>
    </row>
    <row r="903" customFormat="false" ht="15" hidden="false" customHeight="false" outlineLevel="0" collapsed="false">
      <c r="A903" s="0" t="s">
        <v>130</v>
      </c>
      <c r="B903" s="0" t="s">
        <v>16</v>
      </c>
      <c r="C903" s="0" t="n">
        <v>9448</v>
      </c>
      <c r="D903" s="0" t="n">
        <v>678</v>
      </c>
      <c r="E903" s="0" t="n">
        <v>160</v>
      </c>
      <c r="F903" s="0" t="n">
        <v>82</v>
      </c>
      <c r="G903" s="0" t="n">
        <v>58</v>
      </c>
      <c r="H903" s="0" t="n">
        <v>23</v>
      </c>
      <c r="I903" s="0" t="n">
        <v>180204.24</v>
      </c>
      <c r="J903" s="0" t="n">
        <v>877.95</v>
      </c>
    </row>
    <row r="904" customFormat="false" ht="15" hidden="false" customHeight="false" outlineLevel="0" collapsed="false">
      <c r="A904" s="0" t="s">
        <v>130</v>
      </c>
      <c r="B904" s="0" t="s">
        <v>17</v>
      </c>
      <c r="C904" s="0" t="n">
        <v>2697</v>
      </c>
      <c r="D904" s="0" t="n">
        <v>462</v>
      </c>
      <c r="E904" s="0" t="n">
        <v>228</v>
      </c>
      <c r="F904" s="0" t="n">
        <v>168</v>
      </c>
      <c r="G904" s="0" t="n">
        <v>146</v>
      </c>
      <c r="H904" s="0" t="n">
        <v>61</v>
      </c>
      <c r="I904" s="0" t="n">
        <v>482316.64</v>
      </c>
      <c r="J904" s="0" t="n">
        <v>583.57</v>
      </c>
    </row>
    <row r="905" customFormat="false" ht="15" hidden="false" customHeight="false" outlineLevel="0" collapsed="false">
      <c r="A905" s="0" t="s">
        <v>130</v>
      </c>
      <c r="B905" s="0" t="s">
        <v>18</v>
      </c>
      <c r="C905" s="0" t="n">
        <v>11265</v>
      </c>
      <c r="D905" s="0" t="n">
        <v>331</v>
      </c>
      <c r="E905" s="0" t="n">
        <v>69</v>
      </c>
      <c r="F905" s="0" t="n">
        <v>25</v>
      </c>
      <c r="G905" s="0" t="n">
        <v>18</v>
      </c>
      <c r="H905" s="0" t="n">
        <v>3</v>
      </c>
      <c r="I905" s="0" t="n">
        <v>14654.36</v>
      </c>
      <c r="J905" s="0" t="n">
        <v>3340.82</v>
      </c>
    </row>
    <row r="906" customFormat="false" ht="15" hidden="false" customHeight="false" outlineLevel="0" collapsed="false">
      <c r="A906" s="0" t="s">
        <v>131</v>
      </c>
      <c r="B906" s="0" t="s">
        <v>11</v>
      </c>
      <c r="C906" s="0" t="n">
        <v>7029</v>
      </c>
      <c r="D906" s="0" t="n">
        <v>601</v>
      </c>
      <c r="E906" s="0" t="n">
        <v>191</v>
      </c>
      <c r="F906" s="0" t="n">
        <v>112</v>
      </c>
      <c r="G906" s="0" t="n">
        <v>89</v>
      </c>
      <c r="H906" s="0" t="n">
        <v>29</v>
      </c>
      <c r="I906" s="0" t="n">
        <v>200907.13</v>
      </c>
      <c r="J906" s="0" t="n">
        <v>1780.24</v>
      </c>
    </row>
    <row r="907" customFormat="false" ht="15" hidden="false" customHeight="false" outlineLevel="0" collapsed="false">
      <c r="A907" s="0" t="s">
        <v>131</v>
      </c>
      <c r="B907" s="0" t="s">
        <v>12</v>
      </c>
      <c r="C907" s="0" t="n">
        <v>17833</v>
      </c>
      <c r="D907" s="0" t="n">
        <v>509</v>
      </c>
      <c r="E907" s="0" t="n">
        <v>82</v>
      </c>
      <c r="F907" s="0" t="n">
        <v>39</v>
      </c>
      <c r="G907" s="0" t="n">
        <v>27</v>
      </c>
      <c r="H907" s="0" t="n">
        <v>5</v>
      </c>
      <c r="I907" s="0" t="n">
        <v>28627.71</v>
      </c>
      <c r="J907" s="0" t="n">
        <v>6454.03</v>
      </c>
    </row>
    <row r="908" customFormat="false" ht="15" hidden="false" customHeight="false" outlineLevel="0" collapsed="false">
      <c r="A908" s="0" t="s">
        <v>131</v>
      </c>
      <c r="B908" s="0" t="s">
        <v>13</v>
      </c>
      <c r="C908" s="0" t="n">
        <v>5460</v>
      </c>
      <c r="D908" s="0" t="n">
        <v>252</v>
      </c>
      <c r="E908" s="0" t="n">
        <v>58</v>
      </c>
      <c r="F908" s="0" t="n">
        <v>33</v>
      </c>
      <c r="G908" s="0" t="n">
        <v>26</v>
      </c>
      <c r="H908" s="0" t="n">
        <v>8</v>
      </c>
      <c r="I908" s="0" t="n">
        <v>50417.17</v>
      </c>
      <c r="J908" s="0" t="n">
        <v>5195.99</v>
      </c>
    </row>
    <row r="909" customFormat="false" ht="15" hidden="false" customHeight="false" outlineLevel="0" collapsed="false">
      <c r="A909" s="0" t="s">
        <v>131</v>
      </c>
      <c r="B909" s="0" t="s">
        <v>14</v>
      </c>
      <c r="C909" s="0" t="n">
        <v>8791</v>
      </c>
      <c r="D909" s="0" t="n">
        <v>219</v>
      </c>
      <c r="E909" s="0" t="n">
        <v>45</v>
      </c>
      <c r="F909" s="0" t="n">
        <v>22</v>
      </c>
      <c r="G909" s="0" t="n">
        <v>14</v>
      </c>
      <c r="H909" s="0" t="n">
        <v>3</v>
      </c>
      <c r="I909" s="0" t="n">
        <v>14714.03</v>
      </c>
      <c r="J909" s="0" t="n">
        <v>2024.58</v>
      </c>
    </row>
    <row r="910" customFormat="false" ht="15" hidden="false" customHeight="false" outlineLevel="0" collapsed="false">
      <c r="A910" s="0" t="s">
        <v>131</v>
      </c>
      <c r="B910" s="0" t="s">
        <v>15</v>
      </c>
      <c r="C910" s="0" t="n">
        <v>2202</v>
      </c>
      <c r="D910" s="0" t="n">
        <v>45</v>
      </c>
      <c r="E910" s="0" t="n">
        <v>11</v>
      </c>
      <c r="F910" s="0" t="n">
        <v>7</v>
      </c>
      <c r="G910" s="0" t="n">
        <v>5</v>
      </c>
      <c r="H910" s="0" t="n">
        <v>1</v>
      </c>
      <c r="I910" s="0" t="n">
        <v>10002.01</v>
      </c>
      <c r="J910" s="0" t="n">
        <v>1952.96</v>
      </c>
    </row>
    <row r="911" customFormat="false" ht="15" hidden="false" customHeight="false" outlineLevel="0" collapsed="false">
      <c r="A911" s="0" t="s">
        <v>131</v>
      </c>
      <c r="B911" s="0" t="s">
        <v>16</v>
      </c>
      <c r="C911" s="0" t="n">
        <v>11774</v>
      </c>
      <c r="D911" s="0" t="n">
        <v>481</v>
      </c>
      <c r="E911" s="0" t="n">
        <v>112</v>
      </c>
      <c r="F911" s="0" t="n">
        <v>65</v>
      </c>
      <c r="G911" s="0" t="n">
        <v>46</v>
      </c>
      <c r="H911" s="0" t="n">
        <v>16</v>
      </c>
      <c r="I911" s="0" t="n">
        <v>125088.66</v>
      </c>
      <c r="J911" s="0" t="n">
        <v>1210.57</v>
      </c>
    </row>
    <row r="912" customFormat="false" ht="15" hidden="false" customHeight="false" outlineLevel="0" collapsed="false">
      <c r="A912" s="0" t="s">
        <v>131</v>
      </c>
      <c r="B912" s="0" t="s">
        <v>17</v>
      </c>
      <c r="C912" s="0" t="n">
        <v>2710</v>
      </c>
      <c r="D912" s="0" t="n">
        <v>285</v>
      </c>
      <c r="E912" s="0" t="n">
        <v>118</v>
      </c>
      <c r="F912" s="0" t="n">
        <v>84</v>
      </c>
      <c r="G912" s="0" t="n">
        <v>67</v>
      </c>
      <c r="H912" s="0" t="n">
        <v>30</v>
      </c>
      <c r="I912" s="0" t="n">
        <v>235515.65</v>
      </c>
      <c r="J912" s="0" t="n">
        <v>595.58</v>
      </c>
    </row>
    <row r="913" customFormat="false" ht="15" hidden="false" customHeight="false" outlineLevel="0" collapsed="false">
      <c r="A913" s="0" t="s">
        <v>131</v>
      </c>
      <c r="B913" s="0" t="s">
        <v>18</v>
      </c>
      <c r="C913" s="0" t="n">
        <v>11638</v>
      </c>
      <c r="D913" s="0" t="n">
        <v>312</v>
      </c>
      <c r="E913" s="0" t="n">
        <v>62</v>
      </c>
      <c r="F913" s="0" t="n">
        <v>22</v>
      </c>
      <c r="G913" s="0" t="n">
        <v>13</v>
      </c>
      <c r="H913" s="0" t="n">
        <v>2</v>
      </c>
      <c r="I913" s="0" t="n">
        <v>11913.06</v>
      </c>
      <c r="J913" s="0" t="n">
        <v>3621.43</v>
      </c>
    </row>
    <row r="914" customFormat="false" ht="15" hidden="false" customHeight="false" outlineLevel="0" collapsed="false">
      <c r="A914" s="0" t="s">
        <v>132</v>
      </c>
      <c r="B914" s="0" t="s">
        <v>11</v>
      </c>
      <c r="C914" s="0" t="n">
        <v>3945</v>
      </c>
      <c r="D914" s="0" t="n">
        <v>473</v>
      </c>
      <c r="E914" s="0" t="n">
        <v>152</v>
      </c>
      <c r="F914" s="0" t="n">
        <v>96</v>
      </c>
      <c r="G914" s="0" t="n">
        <v>81</v>
      </c>
      <c r="H914" s="0" t="n">
        <v>28</v>
      </c>
      <c r="I914" s="0" t="n">
        <v>153107.24</v>
      </c>
      <c r="J914" s="0" t="n">
        <v>1445.93</v>
      </c>
    </row>
    <row r="915" customFormat="false" ht="15" hidden="false" customHeight="false" outlineLevel="0" collapsed="false">
      <c r="A915" s="0" t="s">
        <v>132</v>
      </c>
      <c r="B915" s="0" t="s">
        <v>12</v>
      </c>
      <c r="C915" s="0" t="n">
        <v>8487</v>
      </c>
      <c r="D915" s="0" t="n">
        <v>243</v>
      </c>
      <c r="E915" s="0" t="n">
        <v>56</v>
      </c>
      <c r="F915" s="0" t="n">
        <v>24</v>
      </c>
      <c r="G915" s="0" t="n">
        <v>18</v>
      </c>
      <c r="H915" s="0" t="n">
        <v>3</v>
      </c>
      <c r="I915" s="0" t="n">
        <v>15159.57</v>
      </c>
      <c r="J915" s="0" t="n">
        <v>3588.64</v>
      </c>
    </row>
    <row r="916" customFormat="false" ht="15" hidden="false" customHeight="false" outlineLevel="0" collapsed="false">
      <c r="A916" s="0" t="s">
        <v>132</v>
      </c>
      <c r="B916" s="0" t="s">
        <v>13</v>
      </c>
      <c r="C916" s="0" t="n">
        <v>6585</v>
      </c>
      <c r="D916" s="0" t="n">
        <v>293</v>
      </c>
      <c r="E916" s="0" t="n">
        <v>69</v>
      </c>
      <c r="F916" s="0" t="n">
        <v>41</v>
      </c>
      <c r="G916" s="0" t="n">
        <v>29</v>
      </c>
      <c r="H916" s="0" t="n">
        <v>8</v>
      </c>
      <c r="I916" s="0" t="n">
        <v>61306.04</v>
      </c>
      <c r="J916" s="0" t="n">
        <v>4906.89</v>
      </c>
    </row>
    <row r="917" customFormat="false" ht="15" hidden="false" customHeight="false" outlineLevel="0" collapsed="false">
      <c r="A917" s="0" t="s">
        <v>132</v>
      </c>
      <c r="B917" s="0" t="s">
        <v>14</v>
      </c>
      <c r="C917" s="0" t="n">
        <v>10336</v>
      </c>
      <c r="D917" s="0" t="n">
        <v>183</v>
      </c>
      <c r="E917" s="0" t="n">
        <v>24</v>
      </c>
      <c r="F917" s="0" t="n">
        <v>12</v>
      </c>
      <c r="G917" s="0" t="n">
        <v>7</v>
      </c>
      <c r="H917" s="0" t="n">
        <v>1</v>
      </c>
      <c r="I917" s="0" t="n">
        <v>5697.83</v>
      </c>
      <c r="J917" s="0" t="n">
        <v>1848.14</v>
      </c>
    </row>
    <row r="918" customFormat="false" ht="15" hidden="false" customHeight="false" outlineLevel="0" collapsed="false">
      <c r="A918" s="0" t="s">
        <v>132</v>
      </c>
      <c r="B918" s="0" t="s">
        <v>15</v>
      </c>
      <c r="C918" s="0" t="n">
        <v>2983</v>
      </c>
      <c r="D918" s="0" t="n">
        <v>91</v>
      </c>
      <c r="E918" s="0" t="n">
        <v>20</v>
      </c>
      <c r="F918" s="0" t="n">
        <v>14</v>
      </c>
      <c r="G918" s="0" t="n">
        <v>10</v>
      </c>
      <c r="H918" s="0" t="n">
        <v>3</v>
      </c>
      <c r="I918" s="0" t="n">
        <v>41072.26</v>
      </c>
      <c r="J918" s="0" t="n">
        <v>3120.51</v>
      </c>
    </row>
    <row r="919" customFormat="false" ht="15" hidden="false" customHeight="false" outlineLevel="0" collapsed="false">
      <c r="A919" s="0" t="s">
        <v>132</v>
      </c>
      <c r="B919" s="0" t="s">
        <v>16</v>
      </c>
      <c r="C919" s="0" t="n">
        <v>6448</v>
      </c>
      <c r="D919" s="0" t="n">
        <v>327</v>
      </c>
      <c r="E919" s="0" t="n">
        <v>82</v>
      </c>
      <c r="F919" s="0" t="n">
        <v>45</v>
      </c>
      <c r="G919" s="0" t="n">
        <v>35</v>
      </c>
      <c r="H919" s="0" t="n">
        <v>13</v>
      </c>
      <c r="I919" s="0" t="n">
        <v>97083.59</v>
      </c>
      <c r="J919" s="0" t="n">
        <v>780.79</v>
      </c>
    </row>
    <row r="920" customFormat="false" ht="15" hidden="false" customHeight="false" outlineLevel="0" collapsed="false">
      <c r="A920" s="0" t="s">
        <v>132</v>
      </c>
      <c r="B920" s="0" t="s">
        <v>17</v>
      </c>
      <c r="C920" s="0" t="n">
        <v>2537</v>
      </c>
      <c r="D920" s="0" t="n">
        <v>321</v>
      </c>
      <c r="E920" s="0" t="n">
        <v>143</v>
      </c>
      <c r="F920" s="0" t="n">
        <v>99</v>
      </c>
      <c r="G920" s="0" t="n">
        <v>84</v>
      </c>
      <c r="H920" s="0" t="n">
        <v>41</v>
      </c>
      <c r="I920" s="0" t="n">
        <v>292190.66</v>
      </c>
      <c r="J920" s="0" t="n">
        <v>532.42</v>
      </c>
    </row>
    <row r="921" customFormat="false" ht="15" hidden="false" customHeight="false" outlineLevel="0" collapsed="false">
      <c r="A921" s="0" t="s">
        <v>132</v>
      </c>
      <c r="B921" s="0" t="s">
        <v>18</v>
      </c>
      <c r="C921" s="0" t="n">
        <v>8474</v>
      </c>
      <c r="D921" s="0" t="n">
        <v>177</v>
      </c>
      <c r="E921" s="0" t="n">
        <v>28</v>
      </c>
      <c r="F921" s="0" t="n">
        <v>12</v>
      </c>
      <c r="G921" s="0" t="n">
        <v>8</v>
      </c>
      <c r="H921" s="0" t="n">
        <v>1</v>
      </c>
      <c r="I921" s="0" t="n">
        <v>5750.73</v>
      </c>
      <c r="J921" s="0" t="n">
        <v>2118.88</v>
      </c>
    </row>
    <row r="922" customFormat="false" ht="15" hidden="false" customHeight="false" outlineLevel="0" collapsed="false">
      <c r="A922" s="0" t="s">
        <v>133</v>
      </c>
      <c r="B922" s="0" t="s">
        <v>11</v>
      </c>
      <c r="C922" s="0" t="n">
        <v>5993</v>
      </c>
      <c r="D922" s="0" t="n">
        <v>704</v>
      </c>
      <c r="E922" s="0" t="n">
        <v>230</v>
      </c>
      <c r="F922" s="0" t="n">
        <v>127</v>
      </c>
      <c r="G922" s="0" t="n">
        <v>97</v>
      </c>
      <c r="H922" s="0" t="n">
        <v>37</v>
      </c>
      <c r="I922" s="0" t="n">
        <v>203492.73</v>
      </c>
      <c r="J922" s="0" t="n">
        <v>2856.88</v>
      </c>
    </row>
    <row r="923" customFormat="false" ht="15" hidden="false" customHeight="false" outlineLevel="0" collapsed="false">
      <c r="A923" s="0" t="s">
        <v>133</v>
      </c>
      <c r="B923" s="0" t="s">
        <v>12</v>
      </c>
      <c r="C923" s="0" t="n">
        <v>8728</v>
      </c>
      <c r="D923" s="0" t="n">
        <v>248</v>
      </c>
      <c r="E923" s="0" t="n">
        <v>53</v>
      </c>
      <c r="F923" s="0" t="n">
        <v>26</v>
      </c>
      <c r="G923" s="0" t="n">
        <v>17</v>
      </c>
      <c r="H923" s="0" t="n">
        <v>4</v>
      </c>
      <c r="I923" s="0" t="n">
        <v>16629.58</v>
      </c>
      <c r="J923" s="0" t="n">
        <v>2193.99</v>
      </c>
    </row>
    <row r="924" customFormat="false" ht="15" hidden="false" customHeight="false" outlineLevel="0" collapsed="false">
      <c r="A924" s="0" t="s">
        <v>133</v>
      </c>
      <c r="B924" s="0" t="s">
        <v>13</v>
      </c>
      <c r="C924" s="0" t="n">
        <v>10238</v>
      </c>
      <c r="D924" s="0" t="n">
        <v>446</v>
      </c>
      <c r="E924" s="0" t="n">
        <v>113</v>
      </c>
      <c r="F924" s="0" t="n">
        <v>70</v>
      </c>
      <c r="G924" s="0" t="n">
        <v>54</v>
      </c>
      <c r="H924" s="0" t="n">
        <v>15</v>
      </c>
      <c r="I924" s="0" t="n">
        <v>101060.84</v>
      </c>
      <c r="J924" s="0" t="n">
        <v>8443.88</v>
      </c>
    </row>
    <row r="925" customFormat="false" ht="15" hidden="false" customHeight="false" outlineLevel="0" collapsed="false">
      <c r="A925" s="0" t="s">
        <v>133</v>
      </c>
      <c r="B925" s="0" t="s">
        <v>14</v>
      </c>
      <c r="C925" s="0" t="n">
        <v>10880</v>
      </c>
      <c r="D925" s="0" t="n">
        <v>200</v>
      </c>
      <c r="E925" s="0" t="n">
        <v>36</v>
      </c>
      <c r="F925" s="0" t="n">
        <v>14</v>
      </c>
      <c r="G925" s="0" t="n">
        <v>9</v>
      </c>
      <c r="H925" s="0" t="n">
        <v>1</v>
      </c>
      <c r="I925" s="0" t="n">
        <v>4922.3</v>
      </c>
      <c r="J925" s="0" t="n">
        <v>2781.94</v>
      </c>
    </row>
    <row r="926" customFormat="false" ht="15" hidden="false" customHeight="false" outlineLevel="0" collapsed="false">
      <c r="A926" s="0" t="s">
        <v>133</v>
      </c>
      <c r="B926" s="0" t="s">
        <v>15</v>
      </c>
      <c r="C926" s="0" t="n">
        <v>4037</v>
      </c>
      <c r="D926" s="0" t="n">
        <v>107</v>
      </c>
      <c r="E926" s="0" t="n">
        <v>20</v>
      </c>
      <c r="F926" s="0" t="n">
        <v>14</v>
      </c>
      <c r="G926" s="0" t="n">
        <v>10</v>
      </c>
      <c r="H926" s="0" t="n">
        <v>3</v>
      </c>
      <c r="I926" s="0" t="n">
        <v>30370.46</v>
      </c>
      <c r="J926" s="0" t="n">
        <v>4600.71</v>
      </c>
    </row>
    <row r="927" customFormat="false" ht="15" hidden="false" customHeight="false" outlineLevel="0" collapsed="false">
      <c r="A927" s="0" t="s">
        <v>133</v>
      </c>
      <c r="B927" s="0" t="s">
        <v>16</v>
      </c>
      <c r="C927" s="0" t="n">
        <v>5601</v>
      </c>
      <c r="D927" s="0" t="n">
        <v>378</v>
      </c>
      <c r="E927" s="0" t="n">
        <v>92</v>
      </c>
      <c r="F927" s="0" t="n">
        <v>49</v>
      </c>
      <c r="G927" s="0" t="n">
        <v>35</v>
      </c>
      <c r="H927" s="0" t="n">
        <v>13</v>
      </c>
      <c r="I927" s="0" t="n">
        <v>115856.05</v>
      </c>
      <c r="J927" s="0" t="n">
        <v>884.23</v>
      </c>
    </row>
    <row r="928" customFormat="false" ht="15" hidden="false" customHeight="false" outlineLevel="0" collapsed="false">
      <c r="A928" s="0" t="s">
        <v>133</v>
      </c>
      <c r="B928" s="0" t="s">
        <v>17</v>
      </c>
      <c r="C928" s="0" t="n">
        <v>1298</v>
      </c>
      <c r="D928" s="0" t="n">
        <v>207</v>
      </c>
      <c r="E928" s="0" t="n">
        <v>91</v>
      </c>
      <c r="F928" s="0" t="n">
        <v>63</v>
      </c>
      <c r="G928" s="0" t="n">
        <v>50</v>
      </c>
      <c r="H928" s="0" t="n">
        <v>24</v>
      </c>
      <c r="I928" s="0" t="n">
        <v>207125.22</v>
      </c>
      <c r="J928" s="0" t="n">
        <v>407.9</v>
      </c>
    </row>
    <row r="929" customFormat="false" ht="15" hidden="false" customHeight="false" outlineLevel="0" collapsed="false">
      <c r="A929" s="0" t="s">
        <v>133</v>
      </c>
      <c r="B929" s="0" t="s">
        <v>18</v>
      </c>
      <c r="C929" s="0" t="n">
        <v>6063</v>
      </c>
      <c r="D929" s="0" t="n">
        <v>82</v>
      </c>
      <c r="E929" s="0" t="n">
        <v>12</v>
      </c>
      <c r="F929" s="0" t="n">
        <v>5</v>
      </c>
      <c r="G929" s="0" t="n">
        <v>3</v>
      </c>
      <c r="H929" s="0" t="n">
        <v>0</v>
      </c>
      <c r="I929" s="0" t="n">
        <v>0</v>
      </c>
      <c r="J929" s="0" t="n">
        <v>1140.11</v>
      </c>
    </row>
    <row r="930" customFormat="false" ht="15" hidden="false" customHeight="false" outlineLevel="0" collapsed="false">
      <c r="A930" s="0" t="s">
        <v>134</v>
      </c>
      <c r="B930" s="0" t="s">
        <v>11</v>
      </c>
      <c r="C930" s="0" t="n">
        <v>5132</v>
      </c>
      <c r="D930" s="0" t="n">
        <v>555</v>
      </c>
      <c r="E930" s="0" t="n">
        <v>178</v>
      </c>
      <c r="F930" s="0" t="n">
        <v>102</v>
      </c>
      <c r="G930" s="0" t="n">
        <v>81</v>
      </c>
      <c r="H930" s="0" t="n">
        <v>27</v>
      </c>
      <c r="I930" s="0" t="n">
        <v>154887.96</v>
      </c>
      <c r="J930" s="0" t="n">
        <v>2631.5</v>
      </c>
    </row>
    <row r="931" customFormat="false" ht="15" hidden="false" customHeight="false" outlineLevel="0" collapsed="false">
      <c r="A931" s="0" t="s">
        <v>134</v>
      </c>
      <c r="B931" s="0" t="s">
        <v>12</v>
      </c>
      <c r="C931" s="0" t="n">
        <v>8773</v>
      </c>
      <c r="D931" s="0" t="n">
        <v>159</v>
      </c>
      <c r="E931" s="0" t="n">
        <v>24</v>
      </c>
      <c r="F931" s="0" t="n">
        <v>12</v>
      </c>
      <c r="G931" s="0" t="n">
        <v>8</v>
      </c>
      <c r="H931" s="0" t="n">
        <v>1</v>
      </c>
      <c r="I931" s="0" t="n">
        <v>4254.82</v>
      </c>
      <c r="J931" s="0" t="n">
        <v>1583.2</v>
      </c>
    </row>
    <row r="932" customFormat="false" ht="15" hidden="false" customHeight="false" outlineLevel="0" collapsed="false">
      <c r="A932" s="0" t="s">
        <v>134</v>
      </c>
      <c r="B932" s="0" t="s">
        <v>13</v>
      </c>
      <c r="C932" s="0" t="n">
        <v>8238</v>
      </c>
      <c r="D932" s="0" t="n">
        <v>338</v>
      </c>
      <c r="E932" s="0" t="n">
        <v>71</v>
      </c>
      <c r="F932" s="0" t="n">
        <v>38</v>
      </c>
      <c r="G932" s="0" t="n">
        <v>30</v>
      </c>
      <c r="H932" s="0" t="n">
        <v>9</v>
      </c>
      <c r="I932" s="0" t="n">
        <v>57422.77</v>
      </c>
      <c r="J932" s="0" t="n">
        <v>5699.44</v>
      </c>
    </row>
    <row r="933" customFormat="false" ht="15" hidden="false" customHeight="false" outlineLevel="0" collapsed="false">
      <c r="A933" s="0" t="s">
        <v>134</v>
      </c>
      <c r="B933" s="0" t="s">
        <v>14</v>
      </c>
      <c r="C933" s="0" t="n">
        <v>11927</v>
      </c>
      <c r="D933" s="0" t="n">
        <v>157</v>
      </c>
      <c r="E933" s="0" t="n">
        <v>22</v>
      </c>
      <c r="F933" s="0" t="n">
        <v>10</v>
      </c>
      <c r="G933" s="0" t="n">
        <v>6</v>
      </c>
      <c r="H933" s="0" t="n">
        <v>1</v>
      </c>
      <c r="I933" s="0" t="n">
        <v>4312.04</v>
      </c>
      <c r="J933" s="0" t="n">
        <v>1711.61</v>
      </c>
    </row>
    <row r="934" customFormat="false" ht="15" hidden="false" customHeight="false" outlineLevel="0" collapsed="false">
      <c r="A934" s="0" t="s">
        <v>134</v>
      </c>
      <c r="B934" s="0" t="s">
        <v>15</v>
      </c>
      <c r="C934" s="0" t="n">
        <v>3912</v>
      </c>
      <c r="D934" s="0" t="n">
        <v>87</v>
      </c>
      <c r="E934" s="0" t="n">
        <v>20</v>
      </c>
      <c r="F934" s="0" t="n">
        <v>13</v>
      </c>
      <c r="G934" s="0" t="n">
        <v>9</v>
      </c>
      <c r="H934" s="0" t="n">
        <v>3</v>
      </c>
      <c r="I934" s="0" t="n">
        <v>44983.57</v>
      </c>
      <c r="J934" s="0" t="n">
        <v>4126.12</v>
      </c>
    </row>
    <row r="935" customFormat="false" ht="15" hidden="false" customHeight="false" outlineLevel="0" collapsed="false">
      <c r="A935" s="0" t="s">
        <v>134</v>
      </c>
      <c r="B935" s="0" t="s">
        <v>16</v>
      </c>
      <c r="C935" s="0" t="n">
        <v>7956</v>
      </c>
      <c r="D935" s="0" t="n">
        <v>440</v>
      </c>
      <c r="E935" s="0" t="n">
        <v>117</v>
      </c>
      <c r="F935" s="0" t="n">
        <v>66</v>
      </c>
      <c r="G935" s="0" t="n">
        <v>49</v>
      </c>
      <c r="H935" s="0" t="n">
        <v>18</v>
      </c>
      <c r="I935" s="0" t="n">
        <v>110071.65</v>
      </c>
      <c r="J935" s="0" t="n">
        <v>1159.76</v>
      </c>
    </row>
    <row r="936" customFormat="false" ht="15" hidden="false" customHeight="false" outlineLevel="0" collapsed="false">
      <c r="A936" s="0" t="s">
        <v>134</v>
      </c>
      <c r="B936" s="0" t="s">
        <v>17</v>
      </c>
      <c r="C936" s="0" t="n">
        <v>3070</v>
      </c>
      <c r="D936" s="0" t="n">
        <v>464</v>
      </c>
      <c r="E936" s="0" t="n">
        <v>204</v>
      </c>
      <c r="F936" s="0" t="n">
        <v>142</v>
      </c>
      <c r="G936" s="0" t="n">
        <v>120</v>
      </c>
      <c r="H936" s="0" t="n">
        <v>48</v>
      </c>
      <c r="I936" s="0" t="n">
        <v>400330.49</v>
      </c>
      <c r="J936" s="0" t="n">
        <v>1272.8</v>
      </c>
    </row>
    <row r="937" customFormat="false" ht="15" hidden="false" customHeight="false" outlineLevel="0" collapsed="false">
      <c r="A937" s="0" t="s">
        <v>134</v>
      </c>
      <c r="B937" s="0" t="s">
        <v>18</v>
      </c>
      <c r="C937" s="0" t="n">
        <v>6290</v>
      </c>
      <c r="D937" s="0" t="n">
        <v>80</v>
      </c>
      <c r="E937" s="0" t="n">
        <v>14</v>
      </c>
      <c r="F937" s="0" t="n">
        <v>5</v>
      </c>
      <c r="G937" s="0" t="n">
        <v>3</v>
      </c>
      <c r="H937" s="0" t="n">
        <v>0</v>
      </c>
      <c r="I937" s="0" t="n">
        <v>0</v>
      </c>
      <c r="J937" s="0" t="n">
        <v>1136.72</v>
      </c>
    </row>
    <row r="938" customFormat="false" ht="15" hidden="false" customHeight="false" outlineLevel="0" collapsed="false">
      <c r="A938" s="0" t="s">
        <v>135</v>
      </c>
      <c r="B938" s="0" t="s">
        <v>11</v>
      </c>
      <c r="C938" s="0" t="n">
        <v>4846</v>
      </c>
      <c r="D938" s="0" t="n">
        <v>559</v>
      </c>
      <c r="E938" s="0" t="n">
        <v>199</v>
      </c>
      <c r="F938" s="0" t="n">
        <v>123</v>
      </c>
      <c r="G938" s="0" t="n">
        <v>96</v>
      </c>
      <c r="H938" s="0" t="n">
        <v>34</v>
      </c>
      <c r="I938" s="0" t="n">
        <v>207237.89</v>
      </c>
      <c r="J938" s="0" t="n">
        <v>2099.67</v>
      </c>
    </row>
    <row r="939" customFormat="false" ht="15" hidden="false" customHeight="false" outlineLevel="0" collapsed="false">
      <c r="A939" s="0" t="s">
        <v>135</v>
      </c>
      <c r="B939" s="0" t="s">
        <v>12</v>
      </c>
      <c r="C939" s="0" t="n">
        <v>8870</v>
      </c>
      <c r="D939" s="0" t="n">
        <v>246</v>
      </c>
      <c r="E939" s="0" t="n">
        <v>42</v>
      </c>
      <c r="F939" s="0" t="n">
        <v>21</v>
      </c>
      <c r="G939" s="0" t="n">
        <v>15</v>
      </c>
      <c r="H939" s="0" t="n">
        <v>4</v>
      </c>
      <c r="I939" s="0" t="n">
        <v>17038.26</v>
      </c>
      <c r="J939" s="0" t="n">
        <v>2183.4</v>
      </c>
    </row>
    <row r="940" customFormat="false" ht="15" hidden="false" customHeight="false" outlineLevel="0" collapsed="false">
      <c r="A940" s="0" t="s">
        <v>135</v>
      </c>
      <c r="B940" s="0" t="s">
        <v>13</v>
      </c>
      <c r="C940" s="0" t="n">
        <v>10992</v>
      </c>
      <c r="D940" s="0" t="n">
        <v>596</v>
      </c>
      <c r="E940" s="0" t="n">
        <v>125</v>
      </c>
      <c r="F940" s="0" t="n">
        <v>69</v>
      </c>
      <c r="G940" s="0" t="n">
        <v>51</v>
      </c>
      <c r="H940" s="0" t="n">
        <v>15</v>
      </c>
      <c r="I940" s="0" t="n">
        <v>78525.22</v>
      </c>
      <c r="J940" s="0" t="n">
        <v>13476.24</v>
      </c>
    </row>
    <row r="941" customFormat="false" ht="15" hidden="false" customHeight="false" outlineLevel="0" collapsed="false">
      <c r="A941" s="0" t="s">
        <v>135</v>
      </c>
      <c r="B941" s="0" t="s">
        <v>14</v>
      </c>
      <c r="C941" s="0" t="n">
        <v>13125</v>
      </c>
      <c r="D941" s="0" t="n">
        <v>356</v>
      </c>
      <c r="E941" s="0" t="n">
        <v>59</v>
      </c>
      <c r="F941" s="0" t="n">
        <v>25</v>
      </c>
      <c r="G941" s="0" t="n">
        <v>17</v>
      </c>
      <c r="H941" s="0" t="n">
        <v>4</v>
      </c>
      <c r="I941" s="0" t="n">
        <v>23163.87</v>
      </c>
      <c r="J941" s="0" t="n">
        <v>4577.62</v>
      </c>
    </row>
    <row r="942" customFormat="false" ht="15" hidden="false" customHeight="false" outlineLevel="0" collapsed="false">
      <c r="A942" s="0" t="s">
        <v>135</v>
      </c>
      <c r="B942" s="0" t="s">
        <v>15</v>
      </c>
      <c r="C942" s="0" t="n">
        <v>2090</v>
      </c>
      <c r="D942" s="0" t="n">
        <v>46</v>
      </c>
      <c r="E942" s="0" t="n">
        <v>11</v>
      </c>
      <c r="F942" s="0" t="n">
        <v>7</v>
      </c>
      <c r="G942" s="0" t="n">
        <v>5</v>
      </c>
      <c r="H942" s="0" t="n">
        <v>1</v>
      </c>
      <c r="I942" s="0" t="n">
        <v>10281.91</v>
      </c>
      <c r="J942" s="0" t="n">
        <v>2104.02</v>
      </c>
    </row>
    <row r="943" customFormat="false" ht="15" hidden="false" customHeight="false" outlineLevel="0" collapsed="false">
      <c r="A943" s="0" t="s">
        <v>135</v>
      </c>
      <c r="B943" s="0" t="s">
        <v>16</v>
      </c>
      <c r="C943" s="0" t="n">
        <v>11764</v>
      </c>
      <c r="D943" s="0" t="n">
        <v>592</v>
      </c>
      <c r="E943" s="0" t="n">
        <v>122</v>
      </c>
      <c r="F943" s="0" t="n">
        <v>62</v>
      </c>
      <c r="G943" s="0" t="n">
        <v>43</v>
      </c>
      <c r="H943" s="0" t="n">
        <v>17</v>
      </c>
      <c r="I943" s="0" t="n">
        <v>137765.96</v>
      </c>
      <c r="J943" s="0" t="n">
        <v>1587.08</v>
      </c>
    </row>
    <row r="944" customFormat="false" ht="15" hidden="false" customHeight="false" outlineLevel="0" collapsed="false">
      <c r="A944" s="0" t="s">
        <v>135</v>
      </c>
      <c r="B944" s="0" t="s">
        <v>17</v>
      </c>
      <c r="C944" s="0" t="n">
        <v>3367</v>
      </c>
      <c r="D944" s="0" t="n">
        <v>454</v>
      </c>
      <c r="E944" s="0" t="n">
        <v>199</v>
      </c>
      <c r="F944" s="0" t="n">
        <v>137</v>
      </c>
      <c r="G944" s="0" t="n">
        <v>109</v>
      </c>
      <c r="H944" s="0" t="n">
        <v>44</v>
      </c>
      <c r="I944" s="0" t="n">
        <v>438576.6</v>
      </c>
      <c r="J944" s="0" t="n">
        <v>990.55</v>
      </c>
    </row>
    <row r="945" customFormat="false" ht="15" hidden="false" customHeight="false" outlineLevel="0" collapsed="false">
      <c r="A945" s="0" t="s">
        <v>135</v>
      </c>
      <c r="B945" s="0" t="s">
        <v>18</v>
      </c>
      <c r="C945" s="0" t="n">
        <v>6167</v>
      </c>
      <c r="D945" s="0" t="n">
        <v>67</v>
      </c>
      <c r="E945" s="0" t="n">
        <v>13</v>
      </c>
      <c r="F945" s="0" t="n">
        <v>5</v>
      </c>
      <c r="G945" s="0" t="n">
        <v>3</v>
      </c>
      <c r="H945" s="0" t="n">
        <v>0</v>
      </c>
      <c r="I945" s="0" t="n">
        <v>0</v>
      </c>
      <c r="J945" s="0" t="n">
        <v>1303.6</v>
      </c>
    </row>
    <row r="946" customFormat="false" ht="15" hidden="false" customHeight="false" outlineLevel="0" collapsed="false">
      <c r="A946" s="0" t="s">
        <v>136</v>
      </c>
      <c r="B946" s="0" t="s">
        <v>11</v>
      </c>
      <c r="C946" s="0" t="n">
        <v>5672</v>
      </c>
      <c r="D946" s="0" t="n">
        <v>721</v>
      </c>
      <c r="E946" s="0" t="n">
        <v>246</v>
      </c>
      <c r="F946" s="0" t="n">
        <v>153</v>
      </c>
      <c r="G946" s="0" t="n">
        <v>122</v>
      </c>
      <c r="H946" s="0" t="n">
        <v>37</v>
      </c>
      <c r="I946" s="0" t="n">
        <v>247159.87</v>
      </c>
      <c r="J946" s="0" t="n">
        <v>1857.33</v>
      </c>
    </row>
    <row r="947" customFormat="false" ht="15" hidden="false" customHeight="false" outlineLevel="0" collapsed="false">
      <c r="A947" s="0" t="s">
        <v>136</v>
      </c>
      <c r="B947" s="0" t="s">
        <v>12</v>
      </c>
      <c r="C947" s="0" t="n">
        <v>16826</v>
      </c>
      <c r="D947" s="0" t="n">
        <v>419</v>
      </c>
      <c r="E947" s="0" t="n">
        <v>67</v>
      </c>
      <c r="F947" s="0" t="n">
        <v>34</v>
      </c>
      <c r="G947" s="0" t="n">
        <v>24</v>
      </c>
      <c r="H947" s="0" t="n">
        <v>6</v>
      </c>
      <c r="I947" s="0" t="n">
        <v>24661.88</v>
      </c>
      <c r="J947" s="0" t="n">
        <v>6049.98</v>
      </c>
    </row>
    <row r="948" customFormat="false" ht="15" hidden="false" customHeight="false" outlineLevel="0" collapsed="false">
      <c r="A948" s="0" t="s">
        <v>136</v>
      </c>
      <c r="B948" s="0" t="s">
        <v>13</v>
      </c>
      <c r="C948" s="0" t="n">
        <v>11619</v>
      </c>
      <c r="D948" s="0" t="n">
        <v>510</v>
      </c>
      <c r="E948" s="0" t="n">
        <v>134</v>
      </c>
      <c r="F948" s="0" t="n">
        <v>76</v>
      </c>
      <c r="G948" s="0" t="n">
        <v>55</v>
      </c>
      <c r="H948" s="0" t="n">
        <v>16</v>
      </c>
      <c r="I948" s="0" t="n">
        <v>118908.98</v>
      </c>
      <c r="J948" s="0" t="n">
        <v>9835.78</v>
      </c>
    </row>
    <row r="949" customFormat="false" ht="15" hidden="false" customHeight="false" outlineLevel="0" collapsed="false">
      <c r="A949" s="0" t="s">
        <v>136</v>
      </c>
      <c r="B949" s="0" t="s">
        <v>14</v>
      </c>
      <c r="C949" s="0" t="n">
        <v>16027</v>
      </c>
      <c r="D949" s="0" t="n">
        <v>201</v>
      </c>
      <c r="E949" s="0" t="n">
        <v>32</v>
      </c>
      <c r="F949" s="0" t="n">
        <v>14</v>
      </c>
      <c r="G949" s="0" t="n">
        <v>8</v>
      </c>
      <c r="H949" s="0" t="n">
        <v>2</v>
      </c>
      <c r="I949" s="0" t="n">
        <v>8274.4</v>
      </c>
      <c r="J949" s="0" t="n">
        <v>1418.76</v>
      </c>
    </row>
    <row r="950" customFormat="false" ht="15" hidden="false" customHeight="false" outlineLevel="0" collapsed="false">
      <c r="A950" s="0" t="s">
        <v>136</v>
      </c>
      <c r="B950" s="0" t="s">
        <v>15</v>
      </c>
      <c r="C950" s="0" t="n">
        <v>4323</v>
      </c>
      <c r="D950" s="0" t="n">
        <v>148</v>
      </c>
      <c r="E950" s="0" t="n">
        <v>40</v>
      </c>
      <c r="F950" s="0" t="n">
        <v>28</v>
      </c>
      <c r="G950" s="0" t="n">
        <v>22</v>
      </c>
      <c r="H950" s="0" t="n">
        <v>7</v>
      </c>
      <c r="I950" s="0" t="n">
        <v>74205.57</v>
      </c>
      <c r="J950" s="0" t="n">
        <v>4443.8</v>
      </c>
    </row>
    <row r="951" customFormat="false" ht="15" hidden="false" customHeight="false" outlineLevel="0" collapsed="false">
      <c r="A951" s="0" t="s">
        <v>136</v>
      </c>
      <c r="B951" s="0" t="s">
        <v>16</v>
      </c>
      <c r="C951" s="0" t="n">
        <v>12524</v>
      </c>
      <c r="D951" s="0" t="n">
        <v>949</v>
      </c>
      <c r="E951" s="0" t="n">
        <v>198</v>
      </c>
      <c r="F951" s="0" t="n">
        <v>118</v>
      </c>
      <c r="G951" s="0" t="n">
        <v>83</v>
      </c>
      <c r="H951" s="0" t="n">
        <v>29</v>
      </c>
      <c r="I951" s="0" t="n">
        <v>198453.43</v>
      </c>
      <c r="J951" s="0" t="n">
        <v>2842.11</v>
      </c>
    </row>
    <row r="952" customFormat="false" ht="15" hidden="false" customHeight="false" outlineLevel="0" collapsed="false">
      <c r="A952" s="0" t="s">
        <v>136</v>
      </c>
      <c r="B952" s="0" t="s">
        <v>17</v>
      </c>
      <c r="C952" s="0" t="n">
        <v>3004</v>
      </c>
      <c r="D952" s="0" t="n">
        <v>353</v>
      </c>
      <c r="E952" s="0" t="n">
        <v>161</v>
      </c>
      <c r="F952" s="0" t="n">
        <v>119</v>
      </c>
      <c r="G952" s="0" t="n">
        <v>96</v>
      </c>
      <c r="H952" s="0" t="n">
        <v>44</v>
      </c>
      <c r="I952" s="0" t="n">
        <v>390472.99</v>
      </c>
      <c r="J952" s="0" t="n">
        <v>485.66</v>
      </c>
    </row>
    <row r="953" customFormat="false" ht="15" hidden="false" customHeight="false" outlineLevel="0" collapsed="false">
      <c r="A953" s="0" t="s">
        <v>136</v>
      </c>
      <c r="B953" s="0" t="s">
        <v>18</v>
      </c>
      <c r="C953" s="0" t="n">
        <v>7355</v>
      </c>
      <c r="D953" s="0" t="n">
        <v>104</v>
      </c>
      <c r="E953" s="0" t="n">
        <v>17</v>
      </c>
      <c r="F953" s="0" t="n">
        <v>6</v>
      </c>
      <c r="G953" s="0" t="n">
        <v>4</v>
      </c>
      <c r="H953" s="0" t="n">
        <v>0</v>
      </c>
      <c r="I953" s="0" t="n">
        <v>0</v>
      </c>
      <c r="J953" s="0" t="n">
        <v>1295.09</v>
      </c>
    </row>
    <row r="954" customFormat="false" ht="15" hidden="false" customHeight="false" outlineLevel="0" collapsed="false">
      <c r="A954" s="0" t="s">
        <v>137</v>
      </c>
      <c r="B954" s="0" t="s">
        <v>11</v>
      </c>
      <c r="C954" s="0" t="n">
        <v>4597</v>
      </c>
      <c r="D954" s="0" t="n">
        <v>558</v>
      </c>
      <c r="E954" s="0" t="n">
        <v>171</v>
      </c>
      <c r="F954" s="0" t="n">
        <v>96</v>
      </c>
      <c r="G954" s="0" t="n">
        <v>72</v>
      </c>
      <c r="H954" s="0" t="n">
        <v>27</v>
      </c>
      <c r="I954" s="0" t="n">
        <v>175678.9</v>
      </c>
      <c r="J954" s="0" t="n">
        <v>2375.53</v>
      </c>
    </row>
    <row r="955" customFormat="false" ht="15" hidden="false" customHeight="false" outlineLevel="0" collapsed="false">
      <c r="A955" s="0" t="s">
        <v>137</v>
      </c>
      <c r="B955" s="0" t="s">
        <v>12</v>
      </c>
      <c r="C955" s="0" t="n">
        <v>14161</v>
      </c>
      <c r="D955" s="0" t="n">
        <v>350</v>
      </c>
      <c r="E955" s="0" t="n">
        <v>83</v>
      </c>
      <c r="F955" s="0" t="n">
        <v>38</v>
      </c>
      <c r="G955" s="0" t="n">
        <v>29</v>
      </c>
      <c r="H955" s="0" t="n">
        <v>7</v>
      </c>
      <c r="I955" s="0" t="n">
        <v>36445.11</v>
      </c>
      <c r="J955" s="0" t="n">
        <v>3997.08</v>
      </c>
    </row>
    <row r="956" customFormat="false" ht="15" hidden="false" customHeight="false" outlineLevel="0" collapsed="false">
      <c r="A956" s="0" t="s">
        <v>137</v>
      </c>
      <c r="B956" s="0" t="s">
        <v>13</v>
      </c>
      <c r="C956" s="0" t="n">
        <v>8205</v>
      </c>
      <c r="D956" s="0" t="n">
        <v>429</v>
      </c>
      <c r="E956" s="0" t="n">
        <v>127</v>
      </c>
      <c r="F956" s="0" t="n">
        <v>71</v>
      </c>
      <c r="G956" s="0" t="n">
        <v>58</v>
      </c>
      <c r="H956" s="0" t="n">
        <v>17</v>
      </c>
      <c r="I956" s="0" t="n">
        <v>120221.76</v>
      </c>
      <c r="J956" s="0" t="n">
        <v>6680.54</v>
      </c>
    </row>
    <row r="957" customFormat="false" ht="15" hidden="false" customHeight="false" outlineLevel="0" collapsed="false">
      <c r="A957" s="0" t="s">
        <v>137</v>
      </c>
      <c r="B957" s="0" t="s">
        <v>14</v>
      </c>
      <c r="C957" s="0" t="n">
        <v>10581</v>
      </c>
      <c r="D957" s="0" t="n">
        <v>293</v>
      </c>
      <c r="E957" s="0" t="n">
        <v>55</v>
      </c>
      <c r="F957" s="0" t="n">
        <v>21</v>
      </c>
      <c r="G957" s="0" t="n">
        <v>13</v>
      </c>
      <c r="H957" s="0" t="n">
        <v>3</v>
      </c>
      <c r="I957" s="0" t="n">
        <v>11543.31</v>
      </c>
      <c r="J957" s="0" t="n">
        <v>2166.54</v>
      </c>
    </row>
    <row r="958" customFormat="false" ht="15" hidden="false" customHeight="false" outlineLevel="0" collapsed="false">
      <c r="A958" s="0" t="s">
        <v>137</v>
      </c>
      <c r="B958" s="0" t="s">
        <v>15</v>
      </c>
      <c r="C958" s="0" t="n">
        <v>3800</v>
      </c>
      <c r="D958" s="0" t="n">
        <v>101</v>
      </c>
      <c r="E958" s="0" t="n">
        <v>22</v>
      </c>
      <c r="F958" s="0" t="n">
        <v>14</v>
      </c>
      <c r="G958" s="0" t="n">
        <v>10</v>
      </c>
      <c r="H958" s="0" t="n">
        <v>3</v>
      </c>
      <c r="I958" s="0" t="n">
        <v>33002.31</v>
      </c>
      <c r="J958" s="0" t="n">
        <v>4069.43</v>
      </c>
    </row>
    <row r="959" customFormat="false" ht="15" hidden="false" customHeight="false" outlineLevel="0" collapsed="false">
      <c r="A959" s="0" t="s">
        <v>137</v>
      </c>
      <c r="B959" s="0" t="s">
        <v>16</v>
      </c>
      <c r="C959" s="0" t="n">
        <v>12446</v>
      </c>
      <c r="D959" s="0" t="n">
        <v>831</v>
      </c>
      <c r="E959" s="0" t="n">
        <v>197</v>
      </c>
      <c r="F959" s="0" t="n">
        <v>111</v>
      </c>
      <c r="G959" s="0" t="n">
        <v>75</v>
      </c>
      <c r="H959" s="0" t="n">
        <v>30</v>
      </c>
      <c r="I959" s="0" t="n">
        <v>225032.25</v>
      </c>
      <c r="J959" s="0" t="n">
        <v>2123.83</v>
      </c>
    </row>
    <row r="960" customFormat="false" ht="15" hidden="false" customHeight="false" outlineLevel="0" collapsed="false">
      <c r="A960" s="0" t="s">
        <v>137</v>
      </c>
      <c r="B960" s="0" t="s">
        <v>17</v>
      </c>
      <c r="C960" s="0" t="n">
        <v>2072</v>
      </c>
      <c r="D960" s="0" t="n">
        <v>264</v>
      </c>
      <c r="E960" s="0" t="n">
        <v>122</v>
      </c>
      <c r="F960" s="0" t="n">
        <v>87</v>
      </c>
      <c r="G960" s="0" t="n">
        <v>75</v>
      </c>
      <c r="H960" s="0" t="n">
        <v>32</v>
      </c>
      <c r="I960" s="0" t="n">
        <v>277890.16</v>
      </c>
      <c r="J960" s="0" t="n">
        <v>670.44</v>
      </c>
    </row>
    <row r="961" customFormat="false" ht="15" hidden="false" customHeight="false" outlineLevel="0" collapsed="false">
      <c r="A961" s="0" t="s">
        <v>137</v>
      </c>
      <c r="B961" s="0" t="s">
        <v>18</v>
      </c>
      <c r="C961" s="0" t="n">
        <v>11179</v>
      </c>
      <c r="D961" s="0" t="n">
        <v>229</v>
      </c>
      <c r="E961" s="0" t="n">
        <v>42</v>
      </c>
      <c r="F961" s="0" t="n">
        <v>18</v>
      </c>
      <c r="G961" s="0" t="n">
        <v>12</v>
      </c>
      <c r="H961" s="0" t="n">
        <v>2</v>
      </c>
      <c r="I961" s="0" t="n">
        <v>8213.74</v>
      </c>
      <c r="J961" s="0" t="n">
        <v>2458.46</v>
      </c>
    </row>
    <row r="962" customFormat="false" ht="15" hidden="false" customHeight="false" outlineLevel="0" collapsed="false">
      <c r="A962" s="0" t="s">
        <v>138</v>
      </c>
      <c r="B962" s="0" t="s">
        <v>11</v>
      </c>
      <c r="C962" s="0" t="n">
        <v>4185</v>
      </c>
      <c r="D962" s="0" t="n">
        <v>465</v>
      </c>
      <c r="E962" s="0" t="n">
        <v>142</v>
      </c>
      <c r="F962" s="0" t="n">
        <v>91</v>
      </c>
      <c r="G962" s="0" t="n">
        <v>70</v>
      </c>
      <c r="H962" s="0" t="n">
        <v>27</v>
      </c>
      <c r="I962" s="0" t="n">
        <v>188218.3</v>
      </c>
      <c r="J962" s="0" t="n">
        <v>1524.12</v>
      </c>
    </row>
    <row r="963" customFormat="false" ht="15" hidden="false" customHeight="false" outlineLevel="0" collapsed="false">
      <c r="A963" s="0" t="s">
        <v>138</v>
      </c>
      <c r="B963" s="0" t="s">
        <v>12</v>
      </c>
      <c r="C963" s="0" t="n">
        <v>11674</v>
      </c>
      <c r="D963" s="0" t="n">
        <v>321</v>
      </c>
      <c r="E963" s="0" t="n">
        <v>50</v>
      </c>
      <c r="F963" s="0" t="n">
        <v>26</v>
      </c>
      <c r="G963" s="0" t="n">
        <v>17</v>
      </c>
      <c r="H963" s="0" t="n">
        <v>4</v>
      </c>
      <c r="I963" s="0" t="n">
        <v>21424.98</v>
      </c>
      <c r="J963" s="0" t="n">
        <v>4671.18</v>
      </c>
    </row>
    <row r="964" customFormat="false" ht="15" hidden="false" customHeight="false" outlineLevel="0" collapsed="false">
      <c r="A964" s="0" t="s">
        <v>138</v>
      </c>
      <c r="B964" s="0" t="s">
        <v>13</v>
      </c>
      <c r="C964" s="0" t="n">
        <v>14375</v>
      </c>
      <c r="D964" s="0" t="n">
        <v>659</v>
      </c>
      <c r="E964" s="0" t="n">
        <v>172</v>
      </c>
      <c r="F964" s="0" t="n">
        <v>98</v>
      </c>
      <c r="G964" s="0" t="n">
        <v>69</v>
      </c>
      <c r="H964" s="0" t="n">
        <v>22</v>
      </c>
      <c r="I964" s="0" t="n">
        <v>130572.42</v>
      </c>
      <c r="J964" s="0" t="n">
        <v>14150.21</v>
      </c>
    </row>
    <row r="965" customFormat="false" ht="15" hidden="false" customHeight="false" outlineLevel="0" collapsed="false">
      <c r="A965" s="0" t="s">
        <v>138</v>
      </c>
      <c r="B965" s="0" t="s">
        <v>14</v>
      </c>
      <c r="C965" s="0" t="n">
        <v>11558</v>
      </c>
      <c r="D965" s="0" t="n">
        <v>266</v>
      </c>
      <c r="E965" s="0" t="n">
        <v>42</v>
      </c>
      <c r="F965" s="0" t="n">
        <v>17</v>
      </c>
      <c r="G965" s="0" t="n">
        <v>13</v>
      </c>
      <c r="H965" s="0" t="n">
        <v>3</v>
      </c>
      <c r="I965" s="0" t="n">
        <v>13531.74</v>
      </c>
      <c r="J965" s="0" t="n">
        <v>3062.47</v>
      </c>
    </row>
    <row r="966" customFormat="false" ht="15" hidden="false" customHeight="false" outlineLevel="0" collapsed="false">
      <c r="A966" s="0" t="s">
        <v>138</v>
      </c>
      <c r="B966" s="0" t="s">
        <v>15</v>
      </c>
      <c r="C966" s="0" t="n">
        <v>2196</v>
      </c>
      <c r="D966" s="0" t="n">
        <v>45</v>
      </c>
      <c r="E966" s="0" t="n">
        <v>10</v>
      </c>
      <c r="F966" s="0" t="n">
        <v>7</v>
      </c>
      <c r="G966" s="0" t="n">
        <v>5</v>
      </c>
      <c r="H966" s="0" t="n">
        <v>1</v>
      </c>
      <c r="I966" s="0" t="n">
        <v>11833.76</v>
      </c>
      <c r="J966" s="0" t="n">
        <v>1380.08</v>
      </c>
    </row>
    <row r="967" customFormat="false" ht="15" hidden="false" customHeight="false" outlineLevel="0" collapsed="false">
      <c r="A967" s="0" t="s">
        <v>138</v>
      </c>
      <c r="B967" s="0" t="s">
        <v>16</v>
      </c>
      <c r="C967" s="0" t="n">
        <v>10986</v>
      </c>
      <c r="D967" s="0" t="n">
        <v>848</v>
      </c>
      <c r="E967" s="0" t="n">
        <v>169</v>
      </c>
      <c r="F967" s="0" t="n">
        <v>97</v>
      </c>
      <c r="G967" s="0" t="n">
        <v>76</v>
      </c>
      <c r="H967" s="0" t="n">
        <v>27</v>
      </c>
      <c r="I967" s="0" t="n">
        <v>196390.38</v>
      </c>
      <c r="J967" s="0" t="n">
        <v>1011.03</v>
      </c>
    </row>
    <row r="968" customFormat="false" ht="15" hidden="false" customHeight="false" outlineLevel="0" collapsed="false">
      <c r="A968" s="0" t="s">
        <v>138</v>
      </c>
      <c r="B968" s="0" t="s">
        <v>17</v>
      </c>
      <c r="C968" s="0" t="n">
        <v>3801</v>
      </c>
      <c r="D968" s="0" t="n">
        <v>586</v>
      </c>
      <c r="E968" s="0" t="n">
        <v>265</v>
      </c>
      <c r="F968" s="0" t="n">
        <v>175</v>
      </c>
      <c r="G968" s="0" t="n">
        <v>136</v>
      </c>
      <c r="H968" s="0" t="n">
        <v>65</v>
      </c>
      <c r="I968" s="0" t="n">
        <v>578600.71</v>
      </c>
      <c r="J968" s="0" t="n">
        <v>688.64</v>
      </c>
    </row>
    <row r="969" customFormat="false" ht="15" hidden="false" customHeight="false" outlineLevel="0" collapsed="false">
      <c r="A969" s="0" t="s">
        <v>138</v>
      </c>
      <c r="B969" s="0" t="s">
        <v>18</v>
      </c>
      <c r="C969" s="0" t="n">
        <v>11402</v>
      </c>
      <c r="D969" s="0" t="n">
        <v>161</v>
      </c>
      <c r="E969" s="0" t="n">
        <v>31</v>
      </c>
      <c r="F969" s="0" t="n">
        <v>11</v>
      </c>
      <c r="G969" s="0" t="n">
        <v>7</v>
      </c>
      <c r="H969" s="0" t="n">
        <v>1</v>
      </c>
      <c r="I969" s="0" t="n">
        <v>4602.46</v>
      </c>
      <c r="J969" s="0" t="n">
        <v>2794.89</v>
      </c>
    </row>
    <row r="970" customFormat="false" ht="15" hidden="false" customHeight="false" outlineLevel="0" collapsed="false">
      <c r="A970" s="0" t="s">
        <v>139</v>
      </c>
      <c r="B970" s="0" t="s">
        <v>11</v>
      </c>
      <c r="C970" s="0" t="n">
        <v>4705</v>
      </c>
      <c r="D970" s="0" t="n">
        <v>640</v>
      </c>
      <c r="E970" s="0" t="n">
        <v>249</v>
      </c>
      <c r="F970" s="0" t="n">
        <v>149</v>
      </c>
      <c r="G970" s="0" t="n">
        <v>118</v>
      </c>
      <c r="H970" s="0" t="n">
        <v>35</v>
      </c>
      <c r="I970" s="0" t="n">
        <v>175910.71</v>
      </c>
      <c r="J970" s="0" t="n">
        <v>2968.07</v>
      </c>
    </row>
    <row r="971" customFormat="false" ht="15" hidden="false" customHeight="false" outlineLevel="0" collapsed="false">
      <c r="A971" s="0" t="s">
        <v>139</v>
      </c>
      <c r="B971" s="0" t="s">
        <v>12</v>
      </c>
      <c r="C971" s="0" t="n">
        <v>9538</v>
      </c>
      <c r="D971" s="0" t="n">
        <v>203</v>
      </c>
      <c r="E971" s="0" t="n">
        <v>35</v>
      </c>
      <c r="F971" s="0" t="n">
        <v>17</v>
      </c>
      <c r="G971" s="0" t="n">
        <v>11</v>
      </c>
      <c r="H971" s="0" t="n">
        <v>3</v>
      </c>
      <c r="I971" s="0" t="n">
        <v>13178.65</v>
      </c>
      <c r="J971" s="0" t="n">
        <v>2891.28</v>
      </c>
    </row>
    <row r="972" customFormat="false" ht="15" hidden="false" customHeight="false" outlineLevel="0" collapsed="false">
      <c r="A972" s="0" t="s">
        <v>139</v>
      </c>
      <c r="B972" s="0" t="s">
        <v>13</v>
      </c>
      <c r="C972" s="0" t="n">
        <v>9633</v>
      </c>
      <c r="D972" s="0" t="n">
        <v>462</v>
      </c>
      <c r="E972" s="0" t="n">
        <v>100</v>
      </c>
      <c r="F972" s="0" t="n">
        <v>61</v>
      </c>
      <c r="G972" s="0" t="n">
        <v>45</v>
      </c>
      <c r="H972" s="0" t="n">
        <v>14</v>
      </c>
      <c r="I972" s="0" t="n">
        <v>98900.94</v>
      </c>
      <c r="J972" s="0" t="n">
        <v>7199.27</v>
      </c>
    </row>
    <row r="973" customFormat="false" ht="15" hidden="false" customHeight="false" outlineLevel="0" collapsed="false">
      <c r="A973" s="0" t="s">
        <v>139</v>
      </c>
      <c r="B973" s="0" t="s">
        <v>14</v>
      </c>
      <c r="C973" s="0" t="n">
        <v>13752</v>
      </c>
      <c r="D973" s="0" t="n">
        <v>184</v>
      </c>
      <c r="E973" s="0" t="n">
        <v>30</v>
      </c>
      <c r="F973" s="0" t="n">
        <v>14</v>
      </c>
      <c r="G973" s="0" t="n">
        <v>10</v>
      </c>
      <c r="H973" s="0" t="n">
        <v>2</v>
      </c>
      <c r="I973" s="0" t="n">
        <v>9112.1</v>
      </c>
      <c r="J973" s="0" t="n">
        <v>1651.91</v>
      </c>
    </row>
    <row r="974" customFormat="false" ht="15" hidden="false" customHeight="false" outlineLevel="0" collapsed="false">
      <c r="A974" s="0" t="s">
        <v>139</v>
      </c>
      <c r="B974" s="0" t="s">
        <v>15</v>
      </c>
      <c r="C974" s="0" t="n">
        <v>2411</v>
      </c>
      <c r="D974" s="0" t="n">
        <v>82</v>
      </c>
      <c r="E974" s="0" t="n">
        <v>18</v>
      </c>
      <c r="F974" s="0" t="n">
        <v>12</v>
      </c>
      <c r="G974" s="0" t="n">
        <v>9</v>
      </c>
      <c r="H974" s="0" t="n">
        <v>2</v>
      </c>
      <c r="I974" s="0" t="n">
        <v>20257.42</v>
      </c>
      <c r="J974" s="0" t="n">
        <v>3008.11</v>
      </c>
    </row>
    <row r="975" customFormat="false" ht="15" hidden="false" customHeight="false" outlineLevel="0" collapsed="false">
      <c r="A975" s="0" t="s">
        <v>139</v>
      </c>
      <c r="B975" s="0" t="s">
        <v>16</v>
      </c>
      <c r="C975" s="0" t="n">
        <v>14502</v>
      </c>
      <c r="D975" s="0" t="n">
        <v>863</v>
      </c>
      <c r="E975" s="0" t="n">
        <v>196</v>
      </c>
      <c r="F975" s="0" t="n">
        <v>116</v>
      </c>
      <c r="G975" s="0" t="n">
        <v>79</v>
      </c>
      <c r="H975" s="0" t="n">
        <v>32</v>
      </c>
      <c r="I975" s="0" t="n">
        <v>213054.76</v>
      </c>
      <c r="J975" s="0" t="n">
        <v>1810.46</v>
      </c>
    </row>
    <row r="976" customFormat="false" ht="15" hidden="false" customHeight="false" outlineLevel="0" collapsed="false">
      <c r="A976" s="0" t="s">
        <v>139</v>
      </c>
      <c r="B976" s="0" t="s">
        <v>17</v>
      </c>
      <c r="C976" s="0" t="n">
        <v>2286</v>
      </c>
      <c r="D976" s="0" t="n">
        <v>377</v>
      </c>
      <c r="E976" s="0" t="n">
        <v>178</v>
      </c>
      <c r="F976" s="0" t="n">
        <v>115</v>
      </c>
      <c r="G976" s="0" t="n">
        <v>100</v>
      </c>
      <c r="H976" s="0" t="n">
        <v>41</v>
      </c>
      <c r="I976" s="0" t="n">
        <v>319407.23</v>
      </c>
      <c r="J976" s="0" t="n">
        <v>553.12</v>
      </c>
    </row>
    <row r="977" customFormat="false" ht="15" hidden="false" customHeight="false" outlineLevel="0" collapsed="false">
      <c r="A977" s="0" t="s">
        <v>139</v>
      </c>
      <c r="B977" s="0" t="s">
        <v>18</v>
      </c>
      <c r="C977" s="0" t="n">
        <v>5264</v>
      </c>
      <c r="D977" s="0" t="n">
        <v>65</v>
      </c>
      <c r="E977" s="0" t="n">
        <v>14</v>
      </c>
      <c r="F977" s="0" t="n">
        <v>5</v>
      </c>
      <c r="G977" s="0" t="n">
        <v>3</v>
      </c>
      <c r="H977" s="0" t="n">
        <v>0</v>
      </c>
      <c r="I977" s="0" t="n">
        <v>0</v>
      </c>
      <c r="J977" s="0" t="n">
        <v>1117.65</v>
      </c>
    </row>
    <row r="978" customFormat="false" ht="15" hidden="false" customHeight="false" outlineLevel="0" collapsed="false">
      <c r="A978" s="0" t="s">
        <v>140</v>
      </c>
      <c r="B978" s="0" t="s">
        <v>11</v>
      </c>
      <c r="C978" s="0" t="n">
        <v>4965</v>
      </c>
      <c r="D978" s="0" t="n">
        <v>549</v>
      </c>
      <c r="E978" s="0" t="n">
        <v>168</v>
      </c>
      <c r="F978" s="0" t="n">
        <v>100</v>
      </c>
      <c r="G978" s="0" t="n">
        <v>83</v>
      </c>
      <c r="H978" s="0" t="n">
        <v>30</v>
      </c>
      <c r="I978" s="0" t="n">
        <v>179640.7</v>
      </c>
      <c r="J978" s="0" t="n">
        <v>2468.57</v>
      </c>
    </row>
    <row r="979" customFormat="false" ht="15" hidden="false" customHeight="false" outlineLevel="0" collapsed="false">
      <c r="A979" s="0" t="s">
        <v>140</v>
      </c>
      <c r="B979" s="0" t="s">
        <v>12</v>
      </c>
      <c r="C979" s="0" t="n">
        <v>9385</v>
      </c>
      <c r="D979" s="0" t="n">
        <v>273</v>
      </c>
      <c r="E979" s="0" t="n">
        <v>65</v>
      </c>
      <c r="F979" s="0" t="n">
        <v>31</v>
      </c>
      <c r="G979" s="0" t="n">
        <v>21</v>
      </c>
      <c r="H979" s="0" t="n">
        <v>5</v>
      </c>
      <c r="I979" s="0" t="n">
        <v>27275.79</v>
      </c>
      <c r="J979" s="0" t="n">
        <v>2971.05</v>
      </c>
    </row>
    <row r="980" customFormat="false" ht="15" hidden="false" customHeight="false" outlineLevel="0" collapsed="false">
      <c r="A980" s="0" t="s">
        <v>140</v>
      </c>
      <c r="B980" s="0" t="s">
        <v>13</v>
      </c>
      <c r="C980" s="0" t="n">
        <v>6434</v>
      </c>
      <c r="D980" s="0" t="n">
        <v>197</v>
      </c>
      <c r="E980" s="0" t="n">
        <v>43</v>
      </c>
      <c r="F980" s="0" t="n">
        <v>21</v>
      </c>
      <c r="G980" s="0" t="n">
        <v>15</v>
      </c>
      <c r="H980" s="0" t="n">
        <v>4</v>
      </c>
      <c r="I980" s="0" t="n">
        <v>26191.35</v>
      </c>
      <c r="J980" s="0" t="n">
        <v>3210.94</v>
      </c>
    </row>
    <row r="981" customFormat="false" ht="15" hidden="false" customHeight="false" outlineLevel="0" collapsed="false">
      <c r="A981" s="0" t="s">
        <v>140</v>
      </c>
      <c r="B981" s="0" t="s">
        <v>14</v>
      </c>
      <c r="C981" s="0" t="n">
        <v>10172</v>
      </c>
      <c r="D981" s="0" t="n">
        <v>261</v>
      </c>
      <c r="E981" s="0" t="n">
        <v>56</v>
      </c>
      <c r="F981" s="0" t="n">
        <v>23</v>
      </c>
      <c r="G981" s="0" t="n">
        <v>16</v>
      </c>
      <c r="H981" s="0" t="n">
        <v>3</v>
      </c>
      <c r="I981" s="0" t="n">
        <v>13880.79</v>
      </c>
      <c r="J981" s="0" t="n">
        <v>2193.26</v>
      </c>
    </row>
    <row r="982" customFormat="false" ht="15" hidden="false" customHeight="false" outlineLevel="0" collapsed="false">
      <c r="A982" s="0" t="s">
        <v>140</v>
      </c>
      <c r="B982" s="0" t="s">
        <v>15</v>
      </c>
      <c r="C982" s="0" t="n">
        <v>2401</v>
      </c>
      <c r="D982" s="0" t="n">
        <v>90</v>
      </c>
      <c r="E982" s="0" t="n">
        <v>17</v>
      </c>
      <c r="F982" s="0" t="n">
        <v>11</v>
      </c>
      <c r="G982" s="0" t="n">
        <v>8</v>
      </c>
      <c r="H982" s="0" t="n">
        <v>2</v>
      </c>
      <c r="I982" s="0" t="n">
        <v>28690.99</v>
      </c>
      <c r="J982" s="0" t="n">
        <v>3389.52</v>
      </c>
    </row>
    <row r="983" customFormat="false" ht="15" hidden="false" customHeight="false" outlineLevel="0" collapsed="false">
      <c r="A983" s="0" t="s">
        <v>140</v>
      </c>
      <c r="B983" s="0" t="s">
        <v>16</v>
      </c>
      <c r="C983" s="0" t="n">
        <v>6006</v>
      </c>
      <c r="D983" s="0" t="n">
        <v>243</v>
      </c>
      <c r="E983" s="0" t="n">
        <v>54</v>
      </c>
      <c r="F983" s="0" t="n">
        <v>30</v>
      </c>
      <c r="G983" s="0" t="n">
        <v>23</v>
      </c>
      <c r="H983" s="0" t="n">
        <v>8</v>
      </c>
      <c r="I983" s="0" t="n">
        <v>58106.85</v>
      </c>
      <c r="J983" s="0" t="n">
        <v>483.89</v>
      </c>
    </row>
    <row r="984" customFormat="false" ht="15" hidden="false" customHeight="false" outlineLevel="0" collapsed="false">
      <c r="A984" s="0" t="s">
        <v>140</v>
      </c>
      <c r="B984" s="0" t="s">
        <v>17</v>
      </c>
      <c r="C984" s="0" t="n">
        <v>1896</v>
      </c>
      <c r="D984" s="0" t="n">
        <v>233</v>
      </c>
      <c r="E984" s="0" t="n">
        <v>96</v>
      </c>
      <c r="F984" s="0" t="n">
        <v>64</v>
      </c>
      <c r="G984" s="0" t="n">
        <v>50</v>
      </c>
      <c r="H984" s="0" t="n">
        <v>20</v>
      </c>
      <c r="I984" s="0" t="n">
        <v>177635.5</v>
      </c>
      <c r="J984" s="0" t="n">
        <v>237.29</v>
      </c>
    </row>
    <row r="985" customFormat="false" ht="15" hidden="false" customHeight="false" outlineLevel="0" collapsed="false">
      <c r="A985" s="0" t="s">
        <v>140</v>
      </c>
      <c r="B985" s="0" t="s">
        <v>18</v>
      </c>
      <c r="C985" s="0" t="n">
        <v>6132</v>
      </c>
      <c r="D985" s="0" t="n">
        <v>180</v>
      </c>
      <c r="E985" s="0" t="n">
        <v>29</v>
      </c>
      <c r="F985" s="0" t="n">
        <v>11</v>
      </c>
      <c r="G985" s="0" t="n">
        <v>7</v>
      </c>
      <c r="H985" s="0" t="n">
        <v>1</v>
      </c>
      <c r="I985" s="0" t="n">
        <v>4063.99</v>
      </c>
      <c r="J985" s="0" t="n">
        <v>3310.57</v>
      </c>
    </row>
    <row r="986" customFormat="false" ht="15" hidden="false" customHeight="false" outlineLevel="0" collapsed="false">
      <c r="A986" s="0" t="s">
        <v>141</v>
      </c>
      <c r="B986" s="0" t="s">
        <v>11</v>
      </c>
      <c r="C986" s="0" t="n">
        <v>2737</v>
      </c>
      <c r="D986" s="0" t="n">
        <v>409</v>
      </c>
      <c r="E986" s="0" t="n">
        <v>128</v>
      </c>
      <c r="F986" s="0" t="n">
        <v>80</v>
      </c>
      <c r="G986" s="0" t="n">
        <v>63</v>
      </c>
      <c r="H986" s="0" t="n">
        <v>22</v>
      </c>
      <c r="I986" s="0" t="n">
        <v>128168.09</v>
      </c>
      <c r="J986" s="0" t="n">
        <v>1898.56</v>
      </c>
    </row>
    <row r="987" customFormat="false" ht="15" hidden="false" customHeight="false" outlineLevel="0" collapsed="false">
      <c r="A987" s="0" t="s">
        <v>141</v>
      </c>
      <c r="B987" s="0" t="s">
        <v>12</v>
      </c>
      <c r="C987" s="0" t="n">
        <v>7351</v>
      </c>
      <c r="D987" s="0" t="n">
        <v>160</v>
      </c>
      <c r="E987" s="0" t="n">
        <v>32</v>
      </c>
      <c r="F987" s="0" t="n">
        <v>17</v>
      </c>
      <c r="G987" s="0" t="n">
        <v>11</v>
      </c>
      <c r="H987" s="0" t="n">
        <v>3</v>
      </c>
      <c r="I987" s="0" t="n">
        <v>14364.5</v>
      </c>
      <c r="J987" s="0" t="n">
        <v>1515.25</v>
      </c>
    </row>
    <row r="988" customFormat="false" ht="15" hidden="false" customHeight="false" outlineLevel="0" collapsed="false">
      <c r="A988" s="0" t="s">
        <v>141</v>
      </c>
      <c r="B988" s="0" t="s">
        <v>13</v>
      </c>
      <c r="C988" s="0" t="n">
        <v>12241</v>
      </c>
      <c r="D988" s="0" t="n">
        <v>694</v>
      </c>
      <c r="E988" s="0" t="n">
        <v>175</v>
      </c>
      <c r="F988" s="0" t="n">
        <v>101</v>
      </c>
      <c r="G988" s="0" t="n">
        <v>80</v>
      </c>
      <c r="H988" s="0" t="n">
        <v>23</v>
      </c>
      <c r="I988" s="0" t="n">
        <v>118089.02</v>
      </c>
      <c r="J988" s="0" t="n">
        <v>14207.72</v>
      </c>
    </row>
    <row r="989" customFormat="false" ht="15" hidden="false" customHeight="false" outlineLevel="0" collapsed="false">
      <c r="A989" s="0" t="s">
        <v>141</v>
      </c>
      <c r="B989" s="0" t="s">
        <v>14</v>
      </c>
      <c r="C989" s="0" t="n">
        <v>8910</v>
      </c>
      <c r="D989" s="0" t="n">
        <v>163</v>
      </c>
      <c r="E989" s="0" t="n">
        <v>23</v>
      </c>
      <c r="F989" s="0" t="n">
        <v>10</v>
      </c>
      <c r="G989" s="0" t="n">
        <v>7</v>
      </c>
      <c r="H989" s="0" t="n">
        <v>1</v>
      </c>
      <c r="I989" s="0" t="n">
        <v>5497.54</v>
      </c>
      <c r="J989" s="0" t="n">
        <v>1700.79</v>
      </c>
    </row>
    <row r="990" customFormat="false" ht="15" hidden="false" customHeight="false" outlineLevel="0" collapsed="false">
      <c r="A990" s="0" t="s">
        <v>141</v>
      </c>
      <c r="B990" s="0" t="s">
        <v>15</v>
      </c>
      <c r="C990" s="0" t="n">
        <v>4100</v>
      </c>
      <c r="D990" s="0" t="n">
        <v>122</v>
      </c>
      <c r="E990" s="0" t="n">
        <v>25</v>
      </c>
      <c r="F990" s="0" t="n">
        <v>18</v>
      </c>
      <c r="G990" s="0" t="n">
        <v>14</v>
      </c>
      <c r="H990" s="0" t="n">
        <v>4</v>
      </c>
      <c r="I990" s="0" t="n">
        <v>56062.66</v>
      </c>
      <c r="J990" s="0" t="n">
        <v>4316.65</v>
      </c>
    </row>
    <row r="991" customFormat="false" ht="15" hidden="false" customHeight="false" outlineLevel="0" collapsed="false">
      <c r="A991" s="0" t="s">
        <v>141</v>
      </c>
      <c r="B991" s="0" t="s">
        <v>16</v>
      </c>
      <c r="C991" s="0" t="n">
        <v>9211</v>
      </c>
      <c r="D991" s="0" t="n">
        <v>386</v>
      </c>
      <c r="E991" s="0" t="n">
        <v>77</v>
      </c>
      <c r="F991" s="0" t="n">
        <v>40</v>
      </c>
      <c r="G991" s="0" t="n">
        <v>30</v>
      </c>
      <c r="H991" s="0" t="n">
        <v>10</v>
      </c>
      <c r="I991" s="0" t="n">
        <v>72328.82</v>
      </c>
      <c r="J991" s="0" t="n">
        <v>473.82</v>
      </c>
    </row>
    <row r="992" customFormat="false" ht="15" hidden="false" customHeight="false" outlineLevel="0" collapsed="false">
      <c r="A992" s="0" t="s">
        <v>141</v>
      </c>
      <c r="B992" s="0" t="s">
        <v>17</v>
      </c>
      <c r="C992" s="0" t="n">
        <v>2501</v>
      </c>
      <c r="D992" s="0" t="n">
        <v>428</v>
      </c>
      <c r="E992" s="0" t="n">
        <v>178</v>
      </c>
      <c r="F992" s="0" t="n">
        <v>117</v>
      </c>
      <c r="G992" s="0" t="n">
        <v>102</v>
      </c>
      <c r="H992" s="0" t="n">
        <v>43</v>
      </c>
      <c r="I992" s="0" t="n">
        <v>412390.4</v>
      </c>
      <c r="J992" s="0" t="n">
        <v>1158.46</v>
      </c>
    </row>
    <row r="993" customFormat="false" ht="15" hidden="false" customHeight="false" outlineLevel="0" collapsed="false">
      <c r="A993" s="0" t="s">
        <v>141</v>
      </c>
      <c r="B993" s="0" t="s">
        <v>18</v>
      </c>
      <c r="C993" s="0" t="n">
        <v>8846</v>
      </c>
      <c r="D993" s="0" t="n">
        <v>118</v>
      </c>
      <c r="E993" s="0" t="n">
        <v>24</v>
      </c>
      <c r="F993" s="0" t="n">
        <v>11</v>
      </c>
      <c r="G993" s="0" t="n">
        <v>7</v>
      </c>
      <c r="H993" s="0" t="n">
        <v>1</v>
      </c>
      <c r="I993" s="0" t="n">
        <v>4243.78</v>
      </c>
      <c r="J993" s="0" t="n">
        <v>1489.76</v>
      </c>
    </row>
    <row r="994" customFormat="false" ht="15" hidden="false" customHeight="false" outlineLevel="0" collapsed="false">
      <c r="A994" s="0" t="s">
        <v>142</v>
      </c>
      <c r="B994" s="0" t="s">
        <v>11</v>
      </c>
      <c r="C994" s="0" t="n">
        <v>5101</v>
      </c>
      <c r="D994" s="0" t="n">
        <v>727</v>
      </c>
      <c r="E994" s="0" t="n">
        <v>289</v>
      </c>
      <c r="F994" s="0" t="n">
        <v>177</v>
      </c>
      <c r="G994" s="0" t="n">
        <v>135</v>
      </c>
      <c r="H994" s="0" t="n">
        <v>52</v>
      </c>
      <c r="I994" s="0" t="n">
        <v>275989.93</v>
      </c>
      <c r="J994" s="0" t="n">
        <v>2579.94</v>
      </c>
    </row>
    <row r="995" customFormat="false" ht="15" hidden="false" customHeight="false" outlineLevel="0" collapsed="false">
      <c r="A995" s="0" t="s">
        <v>142</v>
      </c>
      <c r="B995" s="0" t="s">
        <v>12</v>
      </c>
      <c r="C995" s="0" t="n">
        <v>12576</v>
      </c>
      <c r="D995" s="0" t="n">
        <v>215</v>
      </c>
      <c r="E995" s="0" t="n">
        <v>45</v>
      </c>
      <c r="F995" s="0" t="n">
        <v>22</v>
      </c>
      <c r="G995" s="0" t="n">
        <v>17</v>
      </c>
      <c r="H995" s="0" t="n">
        <v>3</v>
      </c>
      <c r="I995" s="0" t="n">
        <v>12379.58</v>
      </c>
      <c r="J995" s="0" t="n">
        <v>3150.07</v>
      </c>
    </row>
    <row r="996" customFormat="false" ht="15" hidden="false" customHeight="false" outlineLevel="0" collapsed="false">
      <c r="A996" s="0" t="s">
        <v>142</v>
      </c>
      <c r="B996" s="0" t="s">
        <v>13</v>
      </c>
      <c r="C996" s="0" t="n">
        <v>10097</v>
      </c>
      <c r="D996" s="0" t="n">
        <v>480</v>
      </c>
      <c r="E996" s="0" t="n">
        <v>113</v>
      </c>
      <c r="F996" s="0" t="n">
        <v>64</v>
      </c>
      <c r="G996" s="0" t="n">
        <v>48</v>
      </c>
      <c r="H996" s="0" t="n">
        <v>15</v>
      </c>
      <c r="I996" s="0" t="n">
        <v>82376.41</v>
      </c>
      <c r="J996" s="0" t="n">
        <v>11046.04</v>
      </c>
    </row>
    <row r="997" customFormat="false" ht="15" hidden="false" customHeight="false" outlineLevel="0" collapsed="false">
      <c r="A997" s="0" t="s">
        <v>142</v>
      </c>
      <c r="B997" s="0" t="s">
        <v>14</v>
      </c>
      <c r="C997" s="0" t="n">
        <v>13633</v>
      </c>
      <c r="D997" s="0" t="n">
        <v>176</v>
      </c>
      <c r="E997" s="0" t="n">
        <v>37</v>
      </c>
      <c r="F997" s="0" t="n">
        <v>16</v>
      </c>
      <c r="G997" s="0" t="n">
        <v>11</v>
      </c>
      <c r="H997" s="0" t="n">
        <v>2</v>
      </c>
      <c r="I997" s="0" t="n">
        <v>7754.37</v>
      </c>
      <c r="J997" s="0" t="n">
        <v>1417.18</v>
      </c>
    </row>
    <row r="998" customFormat="false" ht="15" hidden="false" customHeight="false" outlineLevel="0" collapsed="false">
      <c r="A998" s="0" t="s">
        <v>142</v>
      </c>
      <c r="B998" s="0" t="s">
        <v>15</v>
      </c>
      <c r="C998" s="0" t="n">
        <v>5515</v>
      </c>
      <c r="D998" s="0" t="n">
        <v>145</v>
      </c>
      <c r="E998" s="0" t="n">
        <v>27</v>
      </c>
      <c r="F998" s="0" t="n">
        <v>18</v>
      </c>
      <c r="G998" s="0" t="n">
        <v>14</v>
      </c>
      <c r="H998" s="0" t="n">
        <v>4</v>
      </c>
      <c r="I998" s="0" t="n">
        <v>40656</v>
      </c>
      <c r="J998" s="0" t="n">
        <v>5147.2</v>
      </c>
    </row>
    <row r="999" customFormat="false" ht="15" hidden="false" customHeight="false" outlineLevel="0" collapsed="false">
      <c r="A999" s="0" t="s">
        <v>142</v>
      </c>
      <c r="B999" s="0" t="s">
        <v>16</v>
      </c>
      <c r="C999" s="0" t="n">
        <v>14295</v>
      </c>
      <c r="D999" s="0" t="n">
        <v>1004</v>
      </c>
      <c r="E999" s="0" t="n">
        <v>259</v>
      </c>
      <c r="F999" s="0" t="n">
        <v>147</v>
      </c>
      <c r="G999" s="0" t="n">
        <v>103</v>
      </c>
      <c r="H999" s="0" t="n">
        <v>38</v>
      </c>
      <c r="I999" s="0" t="n">
        <v>253048.39</v>
      </c>
      <c r="J999" s="0" t="n">
        <v>2386.09</v>
      </c>
    </row>
    <row r="1000" customFormat="false" ht="15" hidden="false" customHeight="false" outlineLevel="0" collapsed="false">
      <c r="A1000" s="0" t="s">
        <v>142</v>
      </c>
      <c r="B1000" s="0" t="s">
        <v>17</v>
      </c>
      <c r="C1000" s="0" t="n">
        <v>2316</v>
      </c>
      <c r="D1000" s="0" t="n">
        <v>412</v>
      </c>
      <c r="E1000" s="0" t="n">
        <v>197</v>
      </c>
      <c r="F1000" s="0" t="n">
        <v>136</v>
      </c>
      <c r="G1000" s="0" t="n">
        <v>116</v>
      </c>
      <c r="H1000" s="0" t="n">
        <v>56</v>
      </c>
      <c r="I1000" s="0" t="n">
        <v>430375.54</v>
      </c>
      <c r="J1000" s="0" t="n">
        <v>951.54</v>
      </c>
    </row>
    <row r="1001" customFormat="false" ht="15" hidden="false" customHeight="false" outlineLevel="0" collapsed="false">
      <c r="A1001" s="0" t="s">
        <v>142</v>
      </c>
      <c r="B1001" s="0" t="s">
        <v>18</v>
      </c>
      <c r="C1001" s="0" t="n">
        <v>6918</v>
      </c>
      <c r="D1001" s="0" t="n">
        <v>112</v>
      </c>
      <c r="E1001" s="0" t="n">
        <v>17</v>
      </c>
      <c r="F1001" s="0" t="n">
        <v>6</v>
      </c>
      <c r="G1001" s="0" t="n">
        <v>3</v>
      </c>
      <c r="H1001" s="0" t="n">
        <v>0</v>
      </c>
      <c r="I1001" s="0" t="n">
        <v>0</v>
      </c>
      <c r="J1001" s="0" t="n">
        <v>2137.45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0" hidden="false" customHeight="tru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143</v>
      </c>
      <c r="K1" s="2" t="s">
        <v>144</v>
      </c>
      <c r="L1" s="2" t="s">
        <v>145</v>
      </c>
      <c r="M1" s="2" t="s">
        <v>146</v>
      </c>
      <c r="N1" s="2" t="s">
        <v>147</v>
      </c>
      <c r="O1" s="2" t="s">
        <v>148</v>
      </c>
      <c r="P1" s="2" t="s">
        <v>149</v>
      </c>
    </row>
    <row r="2" customFormat="false" ht="15" hidden="false" customHeight="false" outlineLevel="0" collapsed="false">
      <c r="A2" s="0" t="s">
        <v>11</v>
      </c>
      <c r="B2" s="3" t="n">
        <f aca="false">SUMIF('Raw Data'!$B$2:$B$1001,"Email Marketing",'Raw Data'!$C$2:$C$1001)</f>
        <v>659916</v>
      </c>
      <c r="C2" s="3" t="n">
        <f aca="false">SUMIF('Raw Data'!$B$2:$B$1001,"Email Marketing",'Raw Data'!$D$2:$D$1001)</f>
        <v>75319</v>
      </c>
      <c r="D2" s="3" t="n">
        <f aca="false">SUMIF('Raw Data'!$B$2:$B$1001,"Email Marketing",'Raw Data'!$E$2:$E$1001)</f>
        <v>26012</v>
      </c>
      <c r="E2" s="3" t="n">
        <f aca="false">SUMIF('Raw Data'!$B$2:$B$1001,"Email Marketing",'Raw Data'!$F$2:$F$1001)</f>
        <v>15503</v>
      </c>
      <c r="F2" s="3" t="n">
        <f aca="false">SUMIF('Raw Data'!$B$2:$B$1001,"Email Marketing",'Raw Data'!$G$2:$G$1001)</f>
        <v>12359</v>
      </c>
      <c r="G2" s="3" t="n">
        <f aca="false">SUMIF('Raw Data'!$B$2:$B$1001,"Email Marketing",'Raw Data'!$H$2:$H$1001)</f>
        <v>4329</v>
      </c>
      <c r="H2" s="4" t="n">
        <f aca="false">SUMIF('Raw Data'!$B$2:$B$1001,"Email Marketing",'Raw Data'!$I$2:$I$1001)</f>
        <v>25818870.34</v>
      </c>
      <c r="I2" s="4" t="n">
        <f aca="false">SUMIF('Raw Data'!$B$2:$B$1001,"Email Marketing",'Raw Data'!$J$2:$J$1001)</f>
        <v>264234.1</v>
      </c>
      <c r="J2" s="5" t="n">
        <f aca="false">C2/B2*100</f>
        <v>11.4134223143552</v>
      </c>
      <c r="K2" s="5" t="n">
        <f aca="false">D2/C2*100</f>
        <v>34.5357745057688</v>
      </c>
      <c r="L2" s="5" t="n">
        <f aca="false">E2/D2*100</f>
        <v>59.5994156543134</v>
      </c>
      <c r="M2" s="5" t="n">
        <f aca="false">G2/F2*100</f>
        <v>35.0271057528926</v>
      </c>
      <c r="N2" s="5" t="n">
        <f aca="false">G2/B2*100</f>
        <v>0.655992580873929</v>
      </c>
      <c r="O2" s="6" t="n">
        <f aca="false">H2/I2</f>
        <v>97.7121058182877</v>
      </c>
      <c r="P2" s="4" t="n">
        <f aca="false">IF(G2=0,0,I2/G2)</f>
        <v>61.0381381381381</v>
      </c>
    </row>
    <row r="3" customFormat="false" ht="15" hidden="false" customHeight="false" outlineLevel="0" collapsed="false">
      <c r="A3" s="0" t="s">
        <v>12</v>
      </c>
      <c r="B3" s="3" t="n">
        <f aca="false">SUMIF('Raw Data'!$B$2:$B$1001,"Facebook Ads",'Raw Data'!$C$2:$C$1001)</f>
        <v>1658844</v>
      </c>
      <c r="C3" s="3" t="n">
        <f aca="false">SUMIF('Raw Data'!$B$2:$B$1001,"Facebook Ads",'Raw Data'!$D$2:$D$1001)</f>
        <v>37800</v>
      </c>
      <c r="D3" s="3" t="n">
        <f aca="false">SUMIF('Raw Data'!$B$2:$B$1001,"Facebook Ads",'Raw Data'!$E$2:$E$1001)</f>
        <v>7472</v>
      </c>
      <c r="E3" s="3" t="n">
        <f aca="false">SUMIF('Raw Data'!$B$2:$B$1001,"Facebook Ads",'Raw Data'!$F$2:$F$1001)</f>
        <v>3581</v>
      </c>
      <c r="F3" s="3" t="n">
        <f aca="false">SUMIF('Raw Data'!$B$2:$B$1001,"Facebook Ads",'Raw Data'!$G$2:$G$1001)</f>
        <v>2539</v>
      </c>
      <c r="G3" s="3" t="n">
        <f aca="false">SUMIF('Raw Data'!$B$2:$B$1001,"Facebook Ads",'Raw Data'!$H$2:$H$1001)</f>
        <v>569</v>
      </c>
      <c r="H3" s="4" t="n">
        <f aca="false">SUMIF('Raw Data'!$B$2:$B$1001,"Facebook Ads",'Raw Data'!$I$2:$I$1001)</f>
        <v>2806173.85</v>
      </c>
      <c r="I3" s="4" t="n">
        <f aca="false">SUMIF('Raw Data'!$B$2:$B$1001,"Facebook Ads",'Raw Data'!$J$2:$J$1001)</f>
        <v>426834.45</v>
      </c>
      <c r="J3" s="5" t="n">
        <f aca="false">C3/B3*100</f>
        <v>2.27869528418585</v>
      </c>
      <c r="K3" s="5" t="n">
        <f aca="false">D3/C3*100</f>
        <v>19.7671957671958</v>
      </c>
      <c r="L3" s="5" t="n">
        <f aca="false">E3/D3*100</f>
        <v>47.9255888650964</v>
      </c>
      <c r="M3" s="5" t="n">
        <f aca="false">G3/F3*100</f>
        <v>22.4103977944072</v>
      </c>
      <c r="N3" s="5" t="n">
        <f aca="false">G3/B3*100</f>
        <v>0.03430099515084</v>
      </c>
      <c r="O3" s="6" t="n">
        <f aca="false">H3/I3</f>
        <v>6.57438463554195</v>
      </c>
      <c r="P3" s="4" t="n">
        <f aca="false">IF(G3=0,0,I3/G3)</f>
        <v>750.14841827768</v>
      </c>
    </row>
    <row r="4" customFormat="false" ht="15" hidden="false" customHeight="false" outlineLevel="0" collapsed="false">
      <c r="A4" s="0" t="s">
        <v>13</v>
      </c>
      <c r="B4" s="3" t="n">
        <f aca="false">SUMIF('Raw Data'!$B$2:$B$1001,"Google Ads",'Raw Data'!$C$2:$C$1001)</f>
        <v>1202219</v>
      </c>
      <c r="C4" s="3" t="n">
        <f aca="false">SUMIF('Raw Data'!$B$2:$B$1001,"Google Ads",'Raw Data'!$D$2:$D$1001)</f>
        <v>54681</v>
      </c>
      <c r="D4" s="3" t="n">
        <f aca="false">SUMIF('Raw Data'!$B$2:$B$1001,"Google Ads",'Raw Data'!$E$2:$E$1001)</f>
        <v>13515</v>
      </c>
      <c r="E4" s="3" t="n">
        <f aca="false">SUMIF('Raw Data'!$B$2:$B$1001,"Google Ads",'Raw Data'!$F$2:$F$1001)</f>
        <v>7628</v>
      </c>
      <c r="F4" s="3" t="n">
        <f aca="false">SUMIF('Raw Data'!$B$2:$B$1001,"Google Ads",'Raw Data'!$G$2:$G$1001)</f>
        <v>5836</v>
      </c>
      <c r="G4" s="3" t="n">
        <f aca="false">SUMIF('Raw Data'!$B$2:$B$1001,"Google Ads",'Raw Data'!$H$2:$H$1001)</f>
        <v>1714</v>
      </c>
      <c r="H4" s="4" t="n">
        <f aca="false">SUMIF('Raw Data'!$B$2:$B$1001,"Google Ads",'Raw Data'!$I$2:$I$1001)</f>
        <v>10950005.94</v>
      </c>
      <c r="I4" s="4" t="n">
        <f aca="false">SUMIF('Raw Data'!$B$2:$B$1001,"Google Ads",'Raw Data'!$J$2:$J$1001)</f>
        <v>1039352.75</v>
      </c>
      <c r="J4" s="5" t="n">
        <f aca="false">C4/B4*100</f>
        <v>4.54833936246225</v>
      </c>
      <c r="K4" s="5" t="n">
        <f aca="false">D4/C4*100</f>
        <v>24.7160805398585</v>
      </c>
      <c r="L4" s="5" t="n">
        <f aca="false">E4/D4*100</f>
        <v>56.440991490936</v>
      </c>
      <c r="M4" s="5" t="n">
        <f aca="false">G4/F4*100</f>
        <v>29.3694311172036</v>
      </c>
      <c r="N4" s="5" t="n">
        <f aca="false">G4/B4*100</f>
        <v>0.142569698199746</v>
      </c>
      <c r="O4" s="6" t="n">
        <f aca="false">H4/I4</f>
        <v>10.5354086377315</v>
      </c>
      <c r="P4" s="4" t="n">
        <f aca="false">IF(G4=0,0,I4/G4)</f>
        <v>606.390169194866</v>
      </c>
    </row>
    <row r="5" customFormat="false" ht="15" hidden="false" customHeight="false" outlineLevel="0" collapsed="false">
      <c r="A5" s="0" t="s">
        <v>14</v>
      </c>
      <c r="B5" s="3" t="n">
        <f aca="false">SUMIF('Raw Data'!$B$2:$B$1001,"Instagram Ads",'Raw Data'!$C$2:$C$1001)</f>
        <v>1495263</v>
      </c>
      <c r="C5" s="3" t="n">
        <f aca="false">SUMIF('Raw Data'!$B$2:$B$1001,"Instagram Ads",'Raw Data'!$D$2:$D$1001)</f>
        <v>29262</v>
      </c>
      <c r="D5" s="3" t="n">
        <f aca="false">SUMIF('Raw Data'!$B$2:$B$1001,"Instagram Ads",'Raw Data'!$E$2:$E$1001)</f>
        <v>5016</v>
      </c>
      <c r="E5" s="3" t="n">
        <f aca="false">SUMIF('Raw Data'!$B$2:$B$1001,"Instagram Ads",'Raw Data'!$F$2:$F$1001)</f>
        <v>2200</v>
      </c>
      <c r="F5" s="3" t="n">
        <f aca="false">SUMIF('Raw Data'!$B$2:$B$1001,"Instagram Ads",'Raw Data'!$G$2:$G$1001)</f>
        <v>1457</v>
      </c>
      <c r="G5" s="3" t="n">
        <f aca="false">SUMIF('Raw Data'!$B$2:$B$1001,"Instagram Ads",'Raw Data'!$H$2:$H$1001)</f>
        <v>278</v>
      </c>
      <c r="H5" s="4" t="n">
        <f aca="false">SUMIF('Raw Data'!$B$2:$B$1001,"Instagram Ads",'Raw Data'!$I$2:$I$1001)</f>
        <v>1316829.62</v>
      </c>
      <c r="I5" s="4" t="n">
        <f aca="false">SUMIF('Raw Data'!$B$2:$B$1001,"Instagram Ads",'Raw Data'!$J$2:$J$1001)</f>
        <v>301164.53</v>
      </c>
      <c r="J5" s="5" t="n">
        <f aca="false">C5/B5*100</f>
        <v>1.95698014329252</v>
      </c>
      <c r="K5" s="5" t="n">
        <f aca="false">D5/C5*100</f>
        <v>17.1416854623744</v>
      </c>
      <c r="L5" s="5" t="n">
        <f aca="false">E5/D5*100</f>
        <v>43.859649122807</v>
      </c>
      <c r="M5" s="5" t="n">
        <f aca="false">G5/F5*100</f>
        <v>19.0803019903912</v>
      </c>
      <c r="N5" s="5" t="n">
        <f aca="false">G5/B5*100</f>
        <v>0.0185920470178156</v>
      </c>
      <c r="O5" s="6" t="n">
        <f aca="false">H5/I5</f>
        <v>4.37245920029162</v>
      </c>
      <c r="P5" s="4" t="n">
        <f aca="false">IF(G5=0,0,I5/G5)</f>
        <v>1083.32564748201</v>
      </c>
    </row>
    <row r="6" customFormat="false" ht="15" hidden="false" customHeight="false" outlineLevel="0" collapsed="false">
      <c r="A6" s="0" t="s">
        <v>15</v>
      </c>
      <c r="B6" s="3" t="n">
        <f aca="false">SUMIF('Raw Data'!$B$2:$B$1001,"LinkedIn Ads",'Raw Data'!$C$2:$C$1001)</f>
        <v>450431</v>
      </c>
      <c r="C6" s="3" t="n">
        <f aca="false">SUMIF('Raw Data'!$B$2:$B$1001,"LinkedIn Ads",'Raw Data'!$D$2:$D$1001)</f>
        <v>13029</v>
      </c>
      <c r="D6" s="3" t="n">
        <f aca="false">SUMIF('Raw Data'!$B$2:$B$1001,"LinkedIn Ads",'Raw Data'!$E$2:$E$1001)</f>
        <v>2931</v>
      </c>
      <c r="E6" s="3" t="n">
        <f aca="false">SUMIF('Raw Data'!$B$2:$B$1001,"LinkedIn Ads",'Raw Data'!$F$2:$F$1001)</f>
        <v>1910</v>
      </c>
      <c r="F6" s="3" t="n">
        <f aca="false">SUMIF('Raw Data'!$B$2:$B$1001,"LinkedIn Ads",'Raw Data'!$G$2:$G$1001)</f>
        <v>1439</v>
      </c>
      <c r="G6" s="3" t="n">
        <f aca="false">SUMIF('Raw Data'!$B$2:$B$1001,"LinkedIn Ads",'Raw Data'!$H$2:$H$1001)</f>
        <v>440</v>
      </c>
      <c r="H6" s="4" t="n">
        <f aca="false">SUMIF('Raw Data'!$B$2:$B$1001,"LinkedIn Ads",'Raw Data'!$I$2:$I$1001)</f>
        <v>5399006.18</v>
      </c>
      <c r="I6" s="4" t="n">
        <f aca="false">SUMIF('Raw Data'!$B$2:$B$1001,"LinkedIn Ads",'Raw Data'!$J$2:$J$1001)</f>
        <v>521597.39</v>
      </c>
      <c r="J6" s="5" t="n">
        <f aca="false">C6/B6*100</f>
        <v>2.89256290086606</v>
      </c>
      <c r="K6" s="5" t="n">
        <f aca="false">D6/C6*100</f>
        <v>22.4959705272853</v>
      </c>
      <c r="L6" s="5" t="n">
        <f aca="false">E6/D6*100</f>
        <v>65.165472534971</v>
      </c>
      <c r="M6" s="5" t="n">
        <f aca="false">G6/F6*100</f>
        <v>30.5767894371091</v>
      </c>
      <c r="N6" s="5" t="n">
        <f aca="false">G6/B6*100</f>
        <v>0.0976842180045335</v>
      </c>
      <c r="O6" s="6" t="n">
        <f aca="false">H6/I6</f>
        <v>10.3509072006668</v>
      </c>
      <c r="P6" s="4" t="n">
        <f aca="false">IF(G6=0,0,I6/G6)</f>
        <v>1185.44861363636</v>
      </c>
    </row>
    <row r="7" customFormat="false" ht="15" hidden="false" customHeight="false" outlineLevel="0" collapsed="false">
      <c r="A7" s="0" t="s">
        <v>16</v>
      </c>
      <c r="B7" s="3" t="n">
        <f aca="false">SUMIF('Raw Data'!$B$2:$B$1001,"Organic Search",'Raw Data'!$C$2:$C$1001)</f>
        <v>1258572</v>
      </c>
      <c r="C7" s="3" t="n">
        <f aca="false">SUMIF('Raw Data'!$B$2:$B$1001,"Organic Search",'Raw Data'!$D$2:$D$1001)</f>
        <v>72730</v>
      </c>
      <c r="D7" s="3" t="n">
        <f aca="false">SUMIF('Raw Data'!$B$2:$B$1001,"Organic Search",'Raw Data'!$E$2:$E$1001)</f>
        <v>17231</v>
      </c>
      <c r="E7" s="3" t="n">
        <f aca="false">SUMIF('Raw Data'!$B$2:$B$1001,"Organic Search",'Raw Data'!$F$2:$F$1001)</f>
        <v>9404</v>
      </c>
      <c r="F7" s="3" t="n">
        <f aca="false">SUMIF('Raw Data'!$B$2:$B$1001,"Organic Search",'Raw Data'!$G$2:$G$1001)</f>
        <v>6848</v>
      </c>
      <c r="G7" s="3" t="n">
        <f aca="false">SUMIF('Raw Data'!$B$2:$B$1001,"Organic Search",'Raw Data'!$H$2:$H$1001)</f>
        <v>2673</v>
      </c>
      <c r="H7" s="4" t="n">
        <f aca="false">SUMIF('Raw Data'!$B$2:$B$1001,"Organic Search",'Raw Data'!$I$2:$I$1001)</f>
        <v>19967636.81</v>
      </c>
      <c r="I7" s="4" t="n">
        <f aca="false">SUMIF('Raw Data'!$B$2:$B$1001,"Organic Search",'Raw Data'!$J$2:$J$1001)</f>
        <v>150575.37</v>
      </c>
      <c r="J7" s="5" t="n">
        <f aca="false">C7/B7*100</f>
        <v>5.77877149658502</v>
      </c>
      <c r="K7" s="5" t="n">
        <f aca="false">D7/C7*100</f>
        <v>23.691736559879</v>
      </c>
      <c r="L7" s="5" t="n">
        <f aca="false">E7/D7*100</f>
        <v>54.5760547849806</v>
      </c>
      <c r="M7" s="5" t="n">
        <f aca="false">G7/F7*100</f>
        <v>39.0332943925234</v>
      </c>
      <c r="N7" s="5" t="n">
        <f aca="false">G7/B7*100</f>
        <v>0.212383558509168</v>
      </c>
      <c r="O7" s="6" t="n">
        <f aca="false">H7/I7</f>
        <v>132.608917447787</v>
      </c>
      <c r="P7" s="4" t="n">
        <f aca="false">IF(G7=0,0,I7/G7)</f>
        <v>56.331975308642</v>
      </c>
    </row>
    <row r="8" customFormat="false" ht="15" hidden="false" customHeight="false" outlineLevel="0" collapsed="false">
      <c r="A8" s="0" t="s">
        <v>17</v>
      </c>
      <c r="B8" s="3" t="n">
        <f aca="false">SUMIF('Raw Data'!$B$2:$B$1001,"Referral",'Raw Data'!$C$2:$C$1001)</f>
        <v>319918</v>
      </c>
      <c r="C8" s="3" t="n">
        <f aca="false">SUMIF('Raw Data'!$B$2:$B$1001,"Referral",'Raw Data'!$D$2:$D$1001)</f>
        <v>46607</v>
      </c>
      <c r="D8" s="3" t="n">
        <f aca="false">SUMIF('Raw Data'!$B$2:$B$1001,"Referral",'Raw Data'!$E$2:$E$1001)</f>
        <v>20828</v>
      </c>
      <c r="E8" s="3" t="n">
        <f aca="false">SUMIF('Raw Data'!$B$2:$B$1001,"Referral",'Raw Data'!$F$2:$F$1001)</f>
        <v>14510</v>
      </c>
      <c r="F8" s="3" t="n">
        <f aca="false">SUMIF('Raw Data'!$B$2:$B$1001,"Referral",'Raw Data'!$G$2:$G$1001)</f>
        <v>11991</v>
      </c>
      <c r="G8" s="3" t="n">
        <f aca="false">SUMIF('Raw Data'!$B$2:$B$1001,"Referral",'Raw Data'!$H$2:$H$1001)</f>
        <v>5302</v>
      </c>
      <c r="H8" s="4" t="n">
        <f aca="false">SUMIF('Raw Data'!$B$2:$B$1001,"Referral",'Raw Data'!$I$2:$I$1001)</f>
        <v>45107595.42</v>
      </c>
      <c r="I8" s="4" t="n">
        <f aca="false">SUMIF('Raw Data'!$B$2:$B$1001,"Referral",'Raw Data'!$J$2:$J$1001)</f>
        <v>91702.67</v>
      </c>
      <c r="J8" s="5" t="n">
        <f aca="false">C8/B8*100</f>
        <v>14.5684206577936</v>
      </c>
      <c r="K8" s="5" t="n">
        <f aca="false">D8/C8*100</f>
        <v>44.6885660952218</v>
      </c>
      <c r="L8" s="5" t="n">
        <f aca="false">E8/D8*100</f>
        <v>69.6658344536201</v>
      </c>
      <c r="M8" s="5" t="n">
        <f aca="false">G8/F8*100</f>
        <v>44.2164957051122</v>
      </c>
      <c r="N8" s="5" t="n">
        <f aca="false">G8/B8*100</f>
        <v>1.65729968304378</v>
      </c>
      <c r="O8" s="6" t="n">
        <f aca="false">H8/I8</f>
        <v>491.88966275464</v>
      </c>
      <c r="P8" s="4" t="n">
        <f aca="false">IF(G8=0,0,I8/G8)</f>
        <v>17.2958638249717</v>
      </c>
    </row>
    <row r="9" customFormat="false" ht="15" hidden="false" customHeight="false" outlineLevel="0" collapsed="false">
      <c r="A9" s="0" t="s">
        <v>18</v>
      </c>
      <c r="B9" s="3" t="n">
        <f aca="false">SUMIF('Raw Data'!$B$2:$B$1001,"YouTube Ads",'Raw Data'!$C$2:$C$1001)</f>
        <v>1036768</v>
      </c>
      <c r="C9" s="3" t="n">
        <f aca="false">SUMIF('Raw Data'!$B$2:$B$1001,"YouTube Ads",'Raw Data'!$D$2:$D$1001)</f>
        <v>20428</v>
      </c>
      <c r="D9" s="3" t="n">
        <f aca="false">SUMIF('Raw Data'!$B$2:$B$1001,"YouTube Ads",'Raw Data'!$E$2:$E$1001)</f>
        <v>3712</v>
      </c>
      <c r="E9" s="3" t="n">
        <f aca="false">SUMIF('Raw Data'!$B$2:$B$1001,"YouTube Ads",'Raw Data'!$F$2:$F$1001)</f>
        <v>1504</v>
      </c>
      <c r="F9" s="3" t="n">
        <f aca="false">SUMIF('Raw Data'!$B$2:$B$1001,"YouTube Ads",'Raw Data'!$G$2:$G$1001)</f>
        <v>953</v>
      </c>
      <c r="G9" s="3" t="n">
        <f aca="false">SUMIF('Raw Data'!$B$2:$B$1001,"YouTube Ads",'Raw Data'!$H$2:$H$1001)</f>
        <v>130</v>
      </c>
      <c r="H9" s="4" t="n">
        <f aca="false">SUMIF('Raw Data'!$B$2:$B$1001,"YouTube Ads",'Raw Data'!$I$2:$I$1001)</f>
        <v>656466.57</v>
      </c>
      <c r="I9" s="4" t="n">
        <f aca="false">SUMIF('Raw Data'!$B$2:$B$1001,"YouTube Ads",'Raw Data'!$J$2:$J$1001)</f>
        <v>296315.85</v>
      </c>
      <c r="J9" s="5" t="n">
        <f aca="false">C9/B9*100</f>
        <v>1.97035402327232</v>
      </c>
      <c r="K9" s="5" t="n">
        <f aca="false">D9/C9*100</f>
        <v>18.1711376542001</v>
      </c>
      <c r="L9" s="5" t="n">
        <f aca="false">E9/D9*100</f>
        <v>40.5172413793103</v>
      </c>
      <c r="M9" s="5" t="n">
        <f aca="false">G9/F9*100</f>
        <v>13.6411332633788</v>
      </c>
      <c r="N9" s="5" t="n">
        <f aca="false">G9/B9*100</f>
        <v>0.0125389672520757</v>
      </c>
      <c r="O9" s="6" t="n">
        <f aca="false">H9/I9</f>
        <v>2.21542846931745</v>
      </c>
      <c r="P9" s="4" t="n">
        <f aca="false">IF(G9=0,0,I9/G9)</f>
        <v>2279.35269230769</v>
      </c>
    </row>
    <row r="10" customFormat="false" ht="15" hidden="false" customHeight="false" outlineLevel="0" collapsed="false">
      <c r="A10" s="7" t="s">
        <v>150</v>
      </c>
      <c r="B10" s="7" t="n">
        <f aca="false">SUM(B2:B9)</f>
        <v>8081931</v>
      </c>
      <c r="C10" s="7" t="n">
        <f aca="false">SUM(C2:C9)</f>
        <v>349856</v>
      </c>
      <c r="D10" s="7" t="n">
        <f aca="false">SUM(D2:D9)</f>
        <v>96717</v>
      </c>
      <c r="E10" s="7" t="n">
        <f aca="false">SUM(E2:E9)</f>
        <v>56240</v>
      </c>
      <c r="F10" s="7" t="n">
        <f aca="false">SUM(F2:F9)</f>
        <v>43422</v>
      </c>
      <c r="G10" s="7" t="n">
        <f aca="false">SUM(G2:G9)</f>
        <v>15435</v>
      </c>
      <c r="H10" s="7" t="n">
        <f aca="false">SUM(H2:H9)</f>
        <v>112022584.73</v>
      </c>
      <c r="I10" s="7" t="n">
        <f aca="false">SUM(I2:I9)</f>
        <v>3091777.11</v>
      </c>
    </row>
  </sheetData>
  <conditionalFormatting sqref="N2:N9">
    <cfRule type="colorScale" priority="2">
      <colorScale>
        <cfvo type="min" val="0"/>
        <cfvo type="max" val="0"/>
        <color rgb="FFF8696B"/>
        <color rgb="FF63BE7B"/>
      </colorScale>
    </cfRule>
  </conditionalFormatting>
  <conditionalFormatting sqref="O2:O9">
    <cfRule type="colorScale" priority="3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8" t="s">
        <v>151</v>
      </c>
      <c r="B1" s="8" t="s">
        <v>152</v>
      </c>
      <c r="D1" s="8" t="s">
        <v>153</v>
      </c>
      <c r="E1" s="8" t="s">
        <v>154</v>
      </c>
      <c r="F1" s="8" t="s">
        <v>155</v>
      </c>
      <c r="G1" s="8" t="s">
        <v>156</v>
      </c>
      <c r="H1" s="8" t="s">
        <v>157</v>
      </c>
    </row>
    <row r="2" customFormat="false" ht="15" hidden="false" customHeight="false" outlineLevel="0" collapsed="false">
      <c r="A2" s="0" t="s">
        <v>2</v>
      </c>
      <c r="B2" s="3" t="n">
        <f aca="false">'Channel Summary'!B10</f>
        <v>8081931</v>
      </c>
      <c r="D2" s="9" t="s">
        <v>158</v>
      </c>
      <c r="E2" s="3" t="n">
        <f aca="false">B2</f>
        <v>8081931</v>
      </c>
      <c r="F2" s="3" t="n">
        <f aca="false">B3</f>
        <v>349856</v>
      </c>
      <c r="G2" s="3" t="n">
        <f aca="false">E2-F2</f>
        <v>7732075</v>
      </c>
      <c r="H2" s="5" t="n">
        <f aca="false">(1-F2/E2)*100</f>
        <v>95.6711335446937</v>
      </c>
    </row>
    <row r="3" customFormat="false" ht="15" hidden="false" customHeight="false" outlineLevel="0" collapsed="false">
      <c r="A3" s="0" t="s">
        <v>3</v>
      </c>
      <c r="B3" s="3" t="n">
        <f aca="false">'Channel Summary'!C10</f>
        <v>349856</v>
      </c>
      <c r="D3" s="9" t="s">
        <v>159</v>
      </c>
      <c r="E3" s="3" t="n">
        <f aca="false">B3</f>
        <v>349856</v>
      </c>
      <c r="F3" s="3" t="n">
        <f aca="false">B4</f>
        <v>96717</v>
      </c>
      <c r="G3" s="3" t="n">
        <f aca="false">E3-F3</f>
        <v>253139</v>
      </c>
      <c r="H3" s="5" t="n">
        <f aca="false">(1-F3/E3)*100</f>
        <v>72.355197566999</v>
      </c>
    </row>
    <row r="4" customFormat="false" ht="15" hidden="false" customHeight="false" outlineLevel="0" collapsed="false">
      <c r="A4" s="0" t="s">
        <v>4</v>
      </c>
      <c r="B4" s="3" t="n">
        <f aca="false">'Channel Summary'!D10</f>
        <v>96717</v>
      </c>
      <c r="D4" s="9" t="s">
        <v>160</v>
      </c>
      <c r="E4" s="3" t="n">
        <f aca="false">B4</f>
        <v>96717</v>
      </c>
      <c r="F4" s="3" t="n">
        <f aca="false">B5</f>
        <v>56240</v>
      </c>
      <c r="G4" s="3" t="n">
        <f aca="false">E4-F4</f>
        <v>40477</v>
      </c>
      <c r="H4" s="5" t="n">
        <f aca="false">(1-F4/E4)*100</f>
        <v>41.850967254981</v>
      </c>
    </row>
    <row r="5" customFormat="false" ht="15" hidden="false" customHeight="false" outlineLevel="0" collapsed="false">
      <c r="A5" s="0" t="s">
        <v>5</v>
      </c>
      <c r="B5" s="3" t="n">
        <f aca="false">'Channel Summary'!E10</f>
        <v>56240</v>
      </c>
      <c r="D5" s="9" t="s">
        <v>161</v>
      </c>
      <c r="E5" s="3" t="n">
        <f aca="false">B5</f>
        <v>56240</v>
      </c>
      <c r="F5" s="3" t="n">
        <f aca="false">B6</f>
        <v>43422</v>
      </c>
      <c r="G5" s="3" t="n">
        <f aca="false">E5-F5</f>
        <v>12818</v>
      </c>
      <c r="H5" s="5" t="n">
        <f aca="false">(1-F5/E5)*100</f>
        <v>22.7916073968706</v>
      </c>
    </row>
    <row r="6" customFormat="false" ht="15" hidden="false" customHeight="false" outlineLevel="0" collapsed="false">
      <c r="A6" s="0" t="s">
        <v>6</v>
      </c>
      <c r="B6" s="3" t="n">
        <f aca="false">'Channel Summary'!F10</f>
        <v>43422</v>
      </c>
      <c r="D6" s="9" t="s">
        <v>162</v>
      </c>
      <c r="E6" s="3" t="n">
        <f aca="false">B6</f>
        <v>43422</v>
      </c>
      <c r="F6" s="3" t="n">
        <f aca="false">B7</f>
        <v>15435</v>
      </c>
      <c r="G6" s="3" t="n">
        <f aca="false">E6-F6</f>
        <v>27987</v>
      </c>
      <c r="H6" s="5" t="n">
        <f aca="false">(1-F6/E6)*100</f>
        <v>64.4535028326655</v>
      </c>
    </row>
    <row r="7" customFormat="false" ht="15" hidden="false" customHeight="false" outlineLevel="0" collapsed="false">
      <c r="A7" s="0" t="s">
        <v>7</v>
      </c>
      <c r="B7" s="3" t="n">
        <f aca="false">'Channel Summary'!G10</f>
        <v>15435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2" style="0" width="15"/>
  </cols>
  <sheetData>
    <row r="2" customFormat="false" ht="19.7" hidden="false" customHeight="false" outlineLevel="0" collapsed="false">
      <c r="B2" s="10" t="s">
        <v>163</v>
      </c>
      <c r="C2" s="10"/>
      <c r="D2" s="10"/>
      <c r="E2" s="10"/>
      <c r="F2" s="10"/>
      <c r="G2" s="10"/>
      <c r="H2" s="10"/>
      <c r="I2" s="10"/>
      <c r="J2" s="10"/>
      <c r="K2" s="10"/>
    </row>
    <row r="4" customFormat="false" ht="15" hidden="false" customHeight="true" outlineLevel="0" collapsed="false">
      <c r="B4" s="11" t="s">
        <v>164</v>
      </c>
      <c r="C4" s="11"/>
      <c r="D4" s="11" t="s">
        <v>165</v>
      </c>
      <c r="E4" s="11"/>
      <c r="F4" s="11" t="s">
        <v>147</v>
      </c>
      <c r="G4" s="11"/>
      <c r="H4" s="11" t="s">
        <v>166</v>
      </c>
      <c r="I4" s="11"/>
      <c r="J4" s="11" t="s">
        <v>167</v>
      </c>
      <c r="K4" s="11"/>
      <c r="L4" s="11" t="s">
        <v>148</v>
      </c>
      <c r="M4" s="11"/>
    </row>
    <row r="5" customFormat="false" ht="27.75" hidden="false" customHeight="true" outlineLevel="0" collapsed="false">
      <c r="B5" s="12" t="n">
        <f aca="false">'Channel Summary'!B10</f>
        <v>8081931</v>
      </c>
      <c r="C5" s="12"/>
      <c r="D5" s="12" t="n">
        <f aca="false">'Channel Summary'!G10</f>
        <v>15435</v>
      </c>
      <c r="E5" s="12"/>
      <c r="F5" s="13" t="n">
        <f aca="false">'Channel Summary'!G10/'Channel Summary'!B10*100</f>
        <v>0.190981585960088</v>
      </c>
      <c r="G5" s="13"/>
      <c r="H5" s="14" t="n">
        <f aca="false">'Channel Summary'!H10</f>
        <v>112022584.73</v>
      </c>
      <c r="I5" s="14"/>
      <c r="J5" s="14" t="n">
        <f aca="false">'Channel Summary'!I10</f>
        <v>3091777.11</v>
      </c>
      <c r="K5" s="14"/>
      <c r="L5" s="15" t="n">
        <f aca="false">'Channel Summary'!H10/'Channel Summary'!I10</f>
        <v>36.2324258005778</v>
      </c>
      <c r="M5" s="15"/>
    </row>
  </sheetData>
  <mergeCells count="13">
    <mergeCell ref="B2:K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2026-06-27T16:53:42Z</dcterms:created>
  <dc:creator>openpyxl</dc:creator>
  <dc:description/>
  <dc:language>en-US</dc:language>
  <cp:lastModifiedBy/>
  <dcterms:modified xsi:type="dcterms:W3CDTF">2026-06-27T16:53:49Z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